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With code access" sheetId="1" state="visible" r:id="rId1"/>
    <sheet xmlns:r="http://schemas.openxmlformats.org/officeDocument/2006/relationships" name="Without code access" sheetId="2" state="visible" r:id="rId2"/>
    <sheet xmlns:r="http://schemas.openxmlformats.org/officeDocument/2006/relationships" name="Q&amp;A prep review" sheetId="3" state="visible" r:id="rId3"/>
  </sheets>
  <definedNames>
    <definedName name="_xlnm._FilterDatabase" localSheetId="0" hidden="1">'With code access'!$A$3:$K$33</definedName>
    <definedName name="_xlnm._FilterDatabase" localSheetId="1" hidden="1">'Without code access'!$A$3:$K$55</definedName>
    <definedName name="_xlnm._FilterDatabase" localSheetId="2" hidden="1">'Q&amp;A prep review'!$A$48:$I$84</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FF1F3864"/>
      <sz val="14"/>
    </font>
    <font>
      <name val="Arial"/>
      <i val="1"/>
      <sz val="9"/>
    </font>
    <font>
      <name val="Arial"/>
      <b val="1"/>
      <color rgb="FFFFFFFF"/>
      <sz val="10"/>
    </font>
    <font>
      <name val="Arial"/>
      <sz val="10"/>
    </font>
    <font>
      <name val="Arial"/>
      <b val="1"/>
      <color rgb="FF9C0006"/>
      <sz val="10"/>
    </font>
    <font>
      <name val="Arial"/>
      <b val="1"/>
      <color rgb="FF8A4500"/>
      <sz val="10"/>
    </font>
    <font>
      <name val="Arial"/>
      <b val="1"/>
      <color rgb="FF7F6000"/>
      <sz val="10"/>
    </font>
    <font>
      <name val="Arial"/>
      <b val="1"/>
      <sz val="10"/>
    </font>
    <font>
      <name val="Arial"/>
      <b val="1"/>
      <color rgb="FF1F3864"/>
      <sz val="12"/>
    </font>
    <font>
      <name val="Arial"/>
      <b val="1"/>
      <color rgb="009C0006"/>
      <sz val="10"/>
    </font>
    <font>
      <name val="Arial"/>
      <b val="1"/>
      <color rgb="008A4500"/>
      <sz val="10"/>
    </font>
    <font>
      <name val="Arial"/>
      <b val="1"/>
      <color rgb="002B7A4B"/>
      <sz val="10"/>
    </font>
    <font>
      <name val="Arial"/>
      <b val="1"/>
      <color rgb="008A2E6A"/>
      <sz val="10"/>
    </font>
    <font>
      <name val="Arial"/>
      <color rgb="00808080"/>
      <sz val="10"/>
    </font>
    <font>
      <name val="Arial"/>
      <color rgb="009C0006"/>
      <sz val="10"/>
    </font>
    <font>
      <name val="Arial"/>
      <color rgb="002B7A4B"/>
      <sz val="10"/>
    </font>
  </fonts>
  <fills count="10">
    <fill>
      <patternFill/>
    </fill>
    <fill>
      <patternFill patternType="gray125"/>
    </fill>
    <fill>
      <patternFill patternType="solid">
        <fgColor rgb="FF1F3864"/>
      </patternFill>
    </fill>
    <fill>
      <patternFill patternType="solid">
        <fgColor rgb="FFFFC7CE"/>
      </patternFill>
    </fill>
    <fill>
      <patternFill patternType="solid">
        <fgColor rgb="FFFFE5CC"/>
      </patternFill>
    </fill>
    <fill>
      <patternFill patternType="solid">
        <fgColor rgb="FFFFF2CC"/>
      </patternFill>
    </fill>
    <fill>
      <patternFill patternType="solid">
        <fgColor rgb="00FFC7CE"/>
      </patternFill>
    </fill>
    <fill>
      <patternFill patternType="solid">
        <fgColor rgb="00FFE5CC"/>
      </patternFill>
    </fill>
    <fill>
      <patternFill patternType="solid">
        <fgColor rgb="00E2F1E7"/>
      </patternFill>
    </fill>
    <fill>
      <patternFill patternType="solid">
        <fgColor rgb="00F6E7F0"/>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6">
    <xf numFmtId="0" fontId="0"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5" fillId="3" borderId="1" applyAlignment="1" pivotButton="0" quotePrefix="0" xfId="0">
      <alignment horizontal="center" vertical="top" wrapText="1"/>
    </xf>
    <xf numFmtId="0" fontId="4" fillId="0" borderId="1" applyAlignment="1" pivotButton="0" quotePrefix="0" xfId="0">
      <alignment vertical="top" wrapText="1"/>
    </xf>
    <xf numFmtId="0" fontId="6" fillId="4" borderId="1" applyAlignment="1" pivotButton="0" quotePrefix="0" xfId="0">
      <alignment horizontal="center" vertical="top" wrapText="1"/>
    </xf>
    <xf numFmtId="0" fontId="7" fillId="5" borderId="1" applyAlignment="1" pivotButton="0" quotePrefix="0" xfId="0">
      <alignment horizontal="center" vertical="top" wrapText="1"/>
    </xf>
    <xf numFmtId="0" fontId="8" fillId="0" borderId="1" applyAlignment="1" pivotButton="0" quotePrefix="0" xfId="0">
      <alignment horizontal="center" vertical="top" wrapText="1"/>
    </xf>
    <xf numFmtId="0" fontId="2" fillId="0" borderId="0" applyAlignment="1" pivotButton="0" quotePrefix="0" xfId="0">
      <alignment vertical="top" wrapText="1"/>
    </xf>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9" fillId="0" borderId="0" applyAlignment="1" pivotButton="0" quotePrefix="0" xfId="0">
      <alignment vertical="top" wrapText="1"/>
    </xf>
    <xf numFmtId="0" fontId="4" fillId="0" borderId="0" applyAlignment="1" pivotButton="0" quotePrefix="0" xfId="0">
      <alignment vertical="top" wrapText="1"/>
    </xf>
    <xf numFmtId="0" fontId="3" fillId="2" borderId="1" applyAlignment="1" pivotButton="0" quotePrefix="0" xfId="0">
      <alignment vertical="top" wrapText="1"/>
    </xf>
    <xf numFmtId="0" fontId="8" fillId="0" borderId="1" applyAlignment="1" pivotButton="0" quotePrefix="0" xfId="0">
      <alignment vertical="top" wrapText="1"/>
    </xf>
    <xf numFmtId="0" fontId="5" fillId="3" borderId="1" applyAlignment="1" pivotButton="0" quotePrefix="0" xfId="0">
      <alignment vertical="top" wrapText="1"/>
    </xf>
    <xf numFmtId="0" fontId="10" fillId="6" borderId="1" applyAlignment="1" pivotButton="0" quotePrefix="0" xfId="0">
      <alignment vertical="top" wrapText="1"/>
    </xf>
    <xf numFmtId="0" fontId="11" fillId="7" borderId="1" applyAlignment="1" pivotButton="0" quotePrefix="0" xfId="0">
      <alignment vertical="top" wrapText="1"/>
    </xf>
    <xf numFmtId="0" fontId="12" fillId="8" borderId="1" applyAlignment="1" pivotButton="0" quotePrefix="0" xfId="0">
      <alignment vertical="top" wrapText="1"/>
    </xf>
    <xf numFmtId="0" fontId="6" fillId="4" borderId="1" applyAlignment="1" pivotButton="0" quotePrefix="0" xfId="0">
      <alignment vertical="top" wrapText="1"/>
    </xf>
    <xf numFmtId="0" fontId="13" fillId="9" borderId="1" applyAlignment="1" pivotButton="0" quotePrefix="0" xfId="0">
      <alignment vertical="top" wrapText="1"/>
    </xf>
    <xf numFmtId="0" fontId="14" fillId="0" borderId="1" applyAlignment="1" pivotButton="0" quotePrefix="0" xfId="0">
      <alignment vertical="top" wrapText="1"/>
    </xf>
    <xf numFmtId="0" fontId="7" fillId="5"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tabSelected="0" workbookViewId="0">
      <pane xSplit="3" ySplit="3" topLeftCell="D4" activePane="bottomRight" state="frozen"/>
      <selection pane="topRight" activeCell="A1" sqref="A1"/>
      <selection pane="bottomLeft" activeCell="A1" sqref="A1"/>
      <selection pane="bottomRight" activeCell="A1" sqref="A1:K1"/>
    </sheetView>
  </sheetViews>
  <sheetFormatPr baseColWidth="8" defaultRowHeight="14.4"/>
  <cols>
    <col width="7" customWidth="1" style="9" min="1" max="1"/>
    <col width="11" customWidth="1" style="9" min="2" max="2"/>
    <col width="10" customWidth="1" style="9" min="3" max="3"/>
    <col width="16" customWidth="1" style="9" min="4" max="4"/>
    <col width="13" customWidth="1" style="9" min="5" max="5"/>
    <col width="38" customWidth="1" style="9" min="6" max="6"/>
    <col width="62" customWidth="1" style="9" min="7" max="7"/>
    <col width="42" customWidth="1" style="9" min="8" max="8"/>
    <col width="36" customWidth="1" style="9" min="9" max="9"/>
    <col width="42" customWidth="1" style="9" min="10" max="10"/>
    <col width="9" customWidth="1" style="9" min="11" max="11"/>
    <col width="12" customWidth="1" style="9" min="13" max="13"/>
    <col width="9" customWidth="1" style="9" min="14" max="14"/>
    <col width="11" customWidth="1" style="9" min="15" max="15"/>
  </cols>
  <sheetData>
    <row r="1" ht="22.05" customHeight="1" s="9">
      <c r="A1" s="10" t="inlineStr">
        <is>
          <t>ABOT red team: attacks that need access to the code or result files</t>
        </is>
      </c>
    </row>
    <row r="2" ht="64.05" customHeight="1" s="9">
      <c r="A2" s="8" t="inlineStr">
        <is>
          <t>These points can only be made by someone who has read &lt;CODE&gt;/darwinV2 or the committed artifacts (or reproduced them).    Priority (same labels as ABOT-red-team.md): Critical = undermines a headline claim; Major = undermines a secondary claim or the paper's framing; Minor = presentation, citations or wording.    Rating (1-100) = how hard the paper's position is to justify if this point is raised: 1 = easiest to justify (a convincing answer exists); 100 = hardest (no defence beyond conceding). Priority and rating are independent: a typo is Minor but can't be justified, so it rates high.    Ratings are the reviewer's judgement; the 'Why this rating' column gives the reason for each. [derived] = computed with a script in redteam/; [ext] = outside fact, verify before quoting. Code paths are relative to &lt;CODE&gt;/darwinV2/.</t>
        </is>
      </c>
    </row>
    <row r="3" ht="30" customHeight="1" s="9">
      <c r="A3" s="1" t="inlineStr">
        <is>
          <t>ID</t>
        </is>
      </c>
      <c r="B3" s="1" t="inlineStr">
        <is>
          <t>Priority</t>
        </is>
      </c>
      <c r="C3" s="1" t="inlineStr">
        <is>
          <t>Rating (1-100)</t>
        </is>
      </c>
      <c r="D3" s="1" t="inlineStr">
        <is>
          <t>Area</t>
        </is>
      </c>
      <c r="E3" s="1" t="inlineStr">
        <is>
          <t>Paper section</t>
        </is>
      </c>
      <c r="F3" s="1" t="inlineStr">
        <is>
          <t>What the paper says</t>
        </is>
      </c>
      <c r="G3" s="1" t="inlineStr">
        <is>
          <t>The attack</t>
        </is>
      </c>
      <c r="H3" s="1" t="inlineStr">
        <is>
          <t>Evidence</t>
        </is>
      </c>
      <c r="I3" s="1" t="inlineStr">
        <is>
          <t>Why this rating</t>
        </is>
      </c>
      <c r="J3" s="1" t="inlineStr">
        <is>
          <t>Best available response</t>
        </is>
      </c>
      <c r="K3" s="1" t="inlineStr">
        <is>
          <t>Critique §</t>
        </is>
      </c>
      <c r="M3" s="1" t="inlineStr">
        <is>
          <t>Summary</t>
        </is>
      </c>
      <c r="N3" s="1" t="inlineStr">
        <is>
          <t>Count</t>
        </is>
      </c>
      <c r="O3" s="1" t="inlineStr">
        <is>
          <t>Avg rating</t>
        </is>
      </c>
    </row>
    <row r="4" ht="80.55" customHeight="1" s="9">
      <c r="A4" s="2" t="inlineStr">
        <is>
          <t>C-01</t>
        </is>
      </c>
      <c r="B4" s="3" t="inlineStr">
        <is>
          <t>Critical</t>
        </is>
      </c>
      <c r="C4" s="2" t="n">
        <v>92</v>
      </c>
      <c r="D4" s="4" t="inlineStr">
        <is>
          <t>Simulator / MAC</t>
        </is>
      </c>
      <c r="E4" s="4" t="inlineStr">
        <is>
          <t>III, IV</t>
        </is>
      </c>
      <c r="F4" s="4" t="inlineStr">
        <is>
          <t>Each node derives link quality from the beacons it hears every 30 s.</t>
        </is>
      </c>
      <c r="G4" s="4" t="inlineStr">
        <is>
          <t>In the timestep backend (which produced every reported result) all nodes beacon in the same propagation round. The four nearest neighbours tie at 400 m, so the 6 dB capture rule kills every reception: 0 of 3,068 beacon receptions survive at 10x10 (0 of 7,848 at 15x15), at every severity preset. The authors' own SimPy code calls this 'a synchronisation artifact, not channel physics' and fixed it with jitter there only.</t>
        </is>
      </c>
      <c r="H4" s="4" t="inlineStr">
        <is>
          <t>timestep.py:452-472 (beacons at the exact 30 s boundary); timestep.py:592-665 (capture rule); node.py:263-273 (docstring + jitter fix); redteam/beacon_round.py [derived]</t>
        </is>
      </c>
      <c r="I4" s="4" t="inlineStr">
        <is>
          <t>The authors' own code documents it as an artefact; no physical argument rescues it.</t>
        </is>
      </c>
      <c r="J4" s="4" t="inlineStr">
        <is>
          <t>Known synchronisation artefact, already fixed in the reference backend; the fast backend needs the same jitter, then V-B and V-C must be re-run.</t>
        </is>
      </c>
      <c r="K4" s="2" t="inlineStr">
        <is>
          <t>4.2</t>
        </is>
      </c>
      <c r="M4" s="3" t="inlineStr">
        <is>
          <t>Critical</t>
        </is>
      </c>
      <c r="N4" s="2">
        <f>COUNTIF($B$4:$B$33,M4)</f>
        <v>10</v>
      </c>
      <c r="O4" s="2">
        <f>IFERROR(ROUND(AVERAGEIF($B$4:$B$33,M4,$C$4:$C$33),0),"-")</f>
        <v>86</v>
      </c>
    </row>
    <row r="5" ht="67.8" customHeight="1" s="9">
      <c r="A5" s="2" t="inlineStr">
        <is>
          <t>C-02</t>
        </is>
      </c>
      <c r="B5" s="3" t="inlineStr">
        <is>
          <t>Critical</t>
        </is>
      </c>
      <c r="C5" s="2" t="n">
        <v>90</v>
      </c>
      <c r="D5" s="4" t="inlineStr">
        <is>
          <t>Channel model</t>
        </is>
      </c>
      <c r="E5" s="4" t="inlineStr">
        <is>
          <t>III (Table I); V-B; V-D</t>
        </is>
      </c>
      <c r="F5" s="4" t="inlineStr">
        <is>
          <t>Log-normal shadowing, sigma = 11 dB by default; the severity presets vary n_PL and sigma.</t>
        </is>
      </c>
      <c r="G5" s="4" t="inlineStr">
        <is>
          <t>The timestep backend builds each link's error rate from mean path loss only: no shadowing. From intact through heavy, every in-range link (up to 1,442 m) has PDR &gt;= 0.9998, so the default preset has no channel loss at all; all PDR loss there comes from collisions. Sigma, half of every preset, affects no result.</t>
        </is>
      </c>
      <c r="H5" s="4" t="inlineStr">
        <is>
          <t>timestep.py:157-169 (comment says 'no shadowing'), :517-526; channel.py:185 docstring wrongly says the Bernoulli draw captures shadowing; redteam/per_table.py [derived]</t>
        </is>
      </c>
      <c r="I5" s="4" t="inlineStr">
        <is>
          <t>Contradicts Table I as applied to the results; the only reply ('Fig. 2 used it') makes it worse.</t>
        </is>
      </c>
      <c r="J5" s="4" t="inlineStr">
        <is>
          <t>Shadowing is in the channel model and Fig. 2 but was not applied in the fast backend; it will be added per link per episode.</t>
        </is>
      </c>
      <c r="K5" s="2" t="inlineStr">
        <is>
          <t>3.1</t>
        </is>
      </c>
      <c r="M5" s="5" t="inlineStr">
        <is>
          <t>Major</t>
        </is>
      </c>
      <c r="N5" s="2">
        <f>COUNTIF($B$4:$B$33,M5)</f>
        <v>18</v>
      </c>
      <c r="O5" s="2">
        <f>IFERROR(ROUND(AVERAGEIF($B$4:$B$33,M5,$C$4:$C$33),0),"-")</f>
        <v>64</v>
      </c>
    </row>
    <row r="6" ht="55.05" customHeight="1" s="9">
      <c r="A6" s="2" t="inlineStr">
        <is>
          <t>C-03</t>
        </is>
      </c>
      <c r="B6" s="3" t="inlineStr">
        <is>
          <t>Critical</t>
        </is>
      </c>
      <c r="C6" s="2" t="n">
        <v>88</v>
      </c>
      <c r="D6" s="4" t="inlineStr">
        <is>
          <t>Evaluation task</t>
        </is>
      </c>
      <c r="E6" s="4" t="inlineStr">
        <is>
          <t>V; V-A; V-B</t>
        </is>
      </c>
      <c r="F6" s="4" t="inlineStr">
        <is>
          <t>Success is at ceiling, so agents separate on path efficiency; severity bites on long links.</t>
        </is>
      </c>
      <c r="G6" s="4" t="inlineStr">
        <is>
          <t>A hop succeeds whenever the target neighbour is alive. No delivery draw is made and no PDR is consulted, so success can never fail for channel reasons, at any severity. At 'extreme', agents still hop over 1,442 m links whose backend PDR is 0.0000.</t>
        </is>
      </c>
      <c r="H6" s="4" t="inlineStr">
        <is>
          <t>env.py:311-313; topology.py:96-103 (fixed 1,500 m graph); env.py:274-278; redteam/per_table.py [derived]</t>
        </is>
      </c>
      <c r="I6" s="4" t="inlineStr">
        <is>
          <t>The paper talks about delivery and severity throughout; 'it only measures path choice' contradicts that framing.</t>
        </is>
      </c>
      <c r="J6" s="4" t="inlineStr">
        <is>
          <t>The routing task measures path choice over a live-state graph, not delivery. Gating each hop by link PDR is the first fix.</t>
        </is>
      </c>
      <c r="K6" s="2" t="inlineStr">
        <is>
          <t>1.1</t>
        </is>
      </c>
      <c r="M6" s="6" t="inlineStr">
        <is>
          <t>Minor</t>
        </is>
      </c>
      <c r="N6" s="2">
        <f>COUNTIF($B$4:$B$33,M6)</f>
        <v>2</v>
      </c>
      <c r="O6" s="2">
        <f>IFERROR(ROUND(AVERAGEIF($B$4:$B$33,M6,$C$4:$C$33),0),"-")</f>
        <v>43</v>
      </c>
    </row>
    <row r="7" ht="80.55" customHeight="1" s="9">
      <c r="A7" s="2" t="inlineStr">
        <is>
          <t>C-04</t>
        </is>
      </c>
      <c r="B7" s="3" t="inlineStr">
        <is>
          <t>Critical</t>
        </is>
      </c>
      <c r="C7" s="2" t="n">
        <v>88</v>
      </c>
      <c r="D7" s="4" t="inlineStr">
        <is>
          <t>RL</t>
        </is>
      </c>
      <c r="E7" s="4" t="inlineStr">
        <is>
          <t>III (action space); V-A</t>
        </is>
      </c>
      <c r="F7" s="4" t="inlineStr">
        <is>
          <t>Discrete(8) indexes the identifier-sorted neighbour list; the 8-slot bound works against PPO.</t>
        </is>
      </c>
      <c r="G7" s="4" t="inlineStr">
        <is>
          <t>Node ID = row x cols + col, so the 8 lowest-ID neighbours always lie 2-3 rows 'up'. Both safe zones are corners[:2] = N000 and N009, both in row 0. 85% (10x10) / 88% (15x15) of slots move closer to a safe zone, and the 8 slots always contain an optimal next hop. If the safe zones were the bottom corners, 0 of 98 (0 of 223) start nodes could reach one under any policy.</t>
        </is>
      </c>
      <c r="H7" s="4" t="inlineStr">
        <is>
          <t>topology.py:49-57, :135-151; env.py:274-278; redteam/action_geom.py [derived]</t>
        </is>
      </c>
      <c r="I7" s="4" t="inlineStr">
        <is>
          <t>The result depends on an undisclosed coincidence between ID order and goal placement.</t>
        </is>
      </c>
      <c r="J7" s="4" t="inlineStr">
        <is>
          <t>Safe-zone placement should be randomised and the action set masked or made geometric; we'll report that.</t>
        </is>
      </c>
      <c r="K7" s="2" t="inlineStr">
        <is>
          <t>6.2</t>
        </is>
      </c>
      <c r="M7" s="7" t="inlineStr">
        <is>
          <t>All</t>
        </is>
      </c>
      <c r="N7" s="7">
        <f>SUM(N4:N6)</f>
        <v>30</v>
      </c>
      <c r="O7" s="7">
        <f>IFERROR(ROUND(AVERAGE($C$4:$C$33),0),"-")</f>
        <v>70</v>
      </c>
    </row>
    <row r="8" ht="80.55" customHeight="1" s="9">
      <c r="A8" s="2" t="inlineStr">
        <is>
          <t>C-05</t>
        </is>
      </c>
      <c r="B8" s="3" t="inlineStr">
        <is>
          <t>Critical</t>
        </is>
      </c>
      <c r="C8" s="2" t="n">
        <v>86</v>
      </c>
      <c r="D8" s="4" t="inlineStr">
        <is>
          <t>RL</t>
        </is>
      </c>
      <c r="E8" s="4" t="inlineStr">
        <is>
          <t>V-A; Table II</t>
        </is>
      </c>
      <c r="F8" s="4" t="inlineStr">
        <is>
          <t>PPO reaches a safe zone in stochastically fewer steps than dijkstra_dynamic at both scales.</t>
        </is>
      </c>
      <c r="G8" s="4" t="inlineStr">
        <is>
          <t>A constant policy that always picks action 0 (no learning, ignores the observation), played on the exact evaluation seeds, gets median 3 [2, 3], mean 2.71 at 10x10 and 4 [4, 5], mean 4.07 at 15x15. That matches PPO's 10x10 median and IQR and beats dijkstra_dynamic's means (3.23, 4.40). PPO's final entropy is 0.24-0.33 nats against ln 8 = 2.08: nearly deterministic.</t>
        </is>
      </c>
      <c r="H8" s="4" t="inlineStr">
        <is>
          <t>redteam/seed_starts.py [derived; start nodes validated by reproducing the planners' published {1:23, 2:37, 3:40}]; convergence_summary.json. Ignores failures (~1% per node per episode).</t>
        </is>
      </c>
      <c r="I8" s="4" t="inlineStr">
        <is>
          <t>PPO does beat it by 0.23 / 0.51 mean steps, so a partial answer exists; but PPO's only significant win is matched by a policy with no input.</t>
        </is>
      </c>
      <c r="J8" s="4" t="inlineStr">
        <is>
          <t>PPO beats the constant policy on mean steps; but yes, the action encoding makes the task easy, and a constant baseline belongs in the table.</t>
        </is>
      </c>
      <c r="K8" s="2" t="inlineStr">
        <is>
          <t>6.1</t>
        </is>
      </c>
    </row>
    <row r="9" ht="55.05" customHeight="1" s="9">
      <c r="A9" s="2" t="inlineStr">
        <is>
          <t>C-06</t>
        </is>
      </c>
      <c r="B9" s="3" t="inlineStr">
        <is>
          <t>Critical</t>
        </is>
      </c>
      <c r="C9" s="2" t="n">
        <v>85</v>
      </c>
      <c r="D9" s="4" t="inlineStr">
        <is>
          <t>RL</t>
        </is>
      </c>
      <c r="E9" s="4" t="inlineStr">
        <is>
          <t>III (asymmetries); V-A</t>
        </is>
      </c>
      <c r="F9" s="4" t="inlineStr">
        <is>
          <t>Both asymmetries run against PPO, so its position is a lower bound.</t>
        </is>
      </c>
      <c r="G9" s="4" t="inlineStr">
        <is>
          <t>Asymmetry 2 (8 slots) costs zero hops with this safe-zone placement. The fast planners needed an out-of-range slot in 1 of 217 actions; only dijkstra_dynamic used slots &gt;= 8 (23.6%), and it is the one planner PPO beats. The comparisons PPO loses are unaffected by truncation.</t>
        </is>
      </c>
      <c r="H9" s="4" t="inlineStr">
        <is>
          <t>results_rev2/action_space_audit.json; redteam/action_geom.py [derived]</t>
        </is>
      </c>
      <c r="I9" s="4" t="inlineStr">
        <is>
          <t>The paper's own audit data contradicts the 'lower bound' argument for the comparisons PPO loses.</t>
        </is>
      </c>
      <c r="J9" s="4" t="inlineStr">
        <is>
          <t>Drop the lower-bound claim for the 8-slot asymmetry; it only binds against dijkstra_dynamic.</t>
        </is>
      </c>
      <c r="K9" s="2" t="inlineStr">
        <is>
          <t>6.3</t>
        </is>
      </c>
    </row>
    <row r="10" ht="80.55" customHeight="1" s="9">
      <c r="A10" s="2" t="inlineStr">
        <is>
          <t>C-07</t>
        </is>
      </c>
      <c r="B10" s="3" t="inlineStr">
        <is>
          <t>Critical</t>
        </is>
      </c>
      <c r="C10" s="2" t="n">
        <v>85</v>
      </c>
      <c r="D10" s="4" t="inlineStr">
        <is>
          <t>Metric</t>
        </is>
      </c>
      <c r="E10" s="4" t="inlineStr">
        <is>
          <t>V-B; V-C</t>
        </is>
      </c>
      <c r="F10" s="4" t="inlineStr">
        <is>
          <t>Removing live PDR lowers mean link PDR from 0.267 to 0.145.</t>
        </is>
      </c>
      <c r="G10" s="4" t="inlineStr">
        <is>
          <t>'Mean link PDR' (column mean_pdr_seen) is, per step, the visited node's average PDR over ALL its ~30 outgoing links, with never-used links counted as 1.0. It is not the PDR of the links traversed, and not delivery. Per-episode values bunch at exact numbers: 26 of 100 dijkstra_static episodes are exactly 0.0, and the most common dijkstra_dynamic value is exactly 0.5.</t>
        </is>
      </c>
      <c r="H10" s="4" t="inlineStr">
        <is>
          <t>run_commaware.py:127-135; env.py:340, 355; timestep.py:728-733; redteam/pdr_dist.py [derived]</t>
        </is>
      </c>
      <c r="I10" s="4" t="inlineStr">
        <is>
          <t>The quantity is mislabelled in the paper; no reading of 'link PDR' matches the code.</t>
        </is>
      </c>
      <c r="J10" s="4" t="inlineStr">
        <is>
          <t>It's a node-level health score along the path, not per-link delivery; we'll rename it and add true per-link and end-to-end delivery.</t>
        </is>
      </c>
      <c r="K10" s="2" t="inlineStr">
        <is>
          <t>2.1</t>
        </is>
      </c>
    </row>
    <row r="11" ht="55.05" customHeight="1" s="9">
      <c r="A11" s="2" t="inlineStr">
        <is>
          <t>C-08</t>
        </is>
      </c>
      <c r="B11" s="3" t="inlineStr">
        <is>
          <t>Critical</t>
        </is>
      </c>
      <c r="C11" s="2" t="n">
        <v>85</v>
      </c>
      <c r="D11" s="4" t="inlineStr">
        <is>
          <t>Time scales</t>
        </is>
      </c>
      <c r="E11" s="4" t="inlineStr">
        <is>
          <t>III (link-state monitoring); RL env</t>
        </is>
      </c>
      <c r="F11" s="4" t="inlineStr">
        <is>
          <t>Beacons every 30 s build each node's link-state view, and routing consumes it continuously.</t>
        </is>
      </c>
      <c r="G11" s="4" t="inlineStr">
        <is>
          <t>Episodes start at t = 10 s, and the first beacon round is injected during step index 1 (t = 20 to 30 s). Every decision in an episode of 2 steps or fewer is made before any beacon: 60% of the fastest planners' episodes, 47% of PPO's and 31% of dijkstra_dynamic's.</t>
        </is>
      </c>
      <c r="H11" s="4" t="inlineStr">
        <is>
          <t>env.py:290-293 (10 s warm-up); timestep.py:230, 452-472 (first beacon at 30 s); step distributions in commaware_main_10x10.csv and baselines.csv</t>
        </is>
      </c>
      <c r="I11" s="4" t="inlineStr">
        <is>
          <t>Most routing decisions in the results provably never see the mechanism the paper is about.</t>
        </is>
      </c>
      <c r="J11" s="4" t="inlineStr">
        <is>
          <t>Episodes are too short for beacon-derived state to matter; longer episodes and sparser meshes are needed.</t>
        </is>
      </c>
      <c r="K11" s="2" t="inlineStr">
        <is>
          <t>1.4</t>
        </is>
      </c>
    </row>
    <row r="12" ht="67.8" customHeight="1" s="9">
      <c r="A12" s="2" t="inlineStr">
        <is>
          <t>C-09</t>
        </is>
      </c>
      <c r="B12" s="3" t="inlineStr">
        <is>
          <t>Critical</t>
        </is>
      </c>
      <c r="C12" s="2" t="n">
        <v>82</v>
      </c>
      <c r="D12" s="4" t="inlineStr">
        <is>
          <t>Metric</t>
        </is>
      </c>
      <c r="E12" s="4" t="inlineStr">
        <is>
          <t>V-C</t>
        </is>
      </c>
      <c r="F12" s="4" t="inlineStr">
        <is>
          <t>Live link state carries the delivery gain.</t>
        </is>
      </c>
      <c r="G12" s="4" t="inlineStr">
        <is>
          <t>Never-used links count as 1.0 and every beacon round records a failure, so a node scores high mainly if it hasn't transmitted yet, or transmitted without contention. dijkstra_dynamic's edge cost is 1 / mean of the two endpoints' node scores (not the link), so it routes through quiet nodes. 'Link quality' here effectively means 'who stayed silent'.</t>
        </is>
      </c>
      <c r="H12" s="4" t="inlineStr">
        <is>
          <t>timestep.py:538-545, 728-733; baselines.py:312-320, 339-342</t>
        </is>
      </c>
      <c r="I12" s="4" t="inlineStr">
        <is>
          <t>The mechanism behind the 1.8x is an artefact of defaults and contention, not link quality.</t>
        </is>
      </c>
      <c r="J12" s="4" t="inlineStr">
        <is>
          <t>Concede the metric and edge weights are node-level; per-link, receiver-side estimates are future work.</t>
        </is>
      </c>
      <c r="K12" s="2" t="inlineStr">
        <is>
          <t>2.2-2.3</t>
        </is>
      </c>
    </row>
    <row r="13" ht="67.8" customHeight="1" s="9">
      <c r="A13" s="2" t="inlineStr">
        <is>
          <t>C-10</t>
        </is>
      </c>
      <c r="B13" s="3" t="inlineStr">
        <is>
          <t>Critical</t>
        </is>
      </c>
      <c r="C13" s="2" t="n">
        <v>80</v>
      </c>
      <c r="D13" s="4" t="inlineStr">
        <is>
          <t>Evaluation task</t>
        </is>
      </c>
      <c r="E13" s="4" t="inlineStr">
        <is>
          <t>III; RL env</t>
        </is>
      </c>
      <c r="F13" s="4" t="inlineStr">
        <is>
          <t>A survivor's distress signal propagates hop by hop toward better-connected neighbours until it reaches a rescue node.</t>
        </is>
      </c>
      <c r="G13" s="4" t="inlineStr">
        <is>
          <t>The routing agent is a token walking the graph; it doesn't carry the SOS. SOS packets are injected from random alive nodes and flooded by Gossip3 / geo-greedy forwarding regardless of the agent's route. The +5 reward fires on any delivery anywhere, and did so in 100 of 100 timestep episodes, so it is a constant offset.</t>
        </is>
      </c>
      <c r="H13" s="4" t="inlineStr">
        <is>
          <t>env.py:390-409, 336-337; timestep.py:476-590; results_commaware/FINDINGS.md section 1</t>
        </is>
      </c>
      <c r="I13" s="4" t="inlineStr">
        <is>
          <t>The evaluated routing layer and the SOS path are disconnected; the paper describes them as one.</t>
        </is>
      </c>
      <c r="J13" s="4" t="inlineStr">
        <is>
          <t>The routing evaluation abstracts the SOS path; connecting them is the next step.</t>
        </is>
      </c>
      <c r="K13" s="2" t="inlineStr">
        <is>
          <t>1.2</t>
        </is>
      </c>
    </row>
    <row r="14" ht="80.55" customHeight="1" s="9">
      <c r="A14" s="2" t="inlineStr">
        <is>
          <t>C-11</t>
        </is>
      </c>
      <c r="B14" s="5" t="inlineStr">
        <is>
          <t>Major</t>
        </is>
      </c>
      <c r="C14" s="2" t="n">
        <v>82</v>
      </c>
      <c r="D14" s="4" t="inlineStr">
        <is>
          <t>Link-state monitoring</t>
        </is>
      </c>
      <c r="E14" s="4" t="inlineStr">
        <is>
          <t>III</t>
        </is>
      </c>
      <c r="F14" s="4" t="inlineStr">
        <is>
          <t>Each receiver derives PDR, RSSI and reachability locally from the beacons it hears.</t>
        </is>
      </c>
      <c r="G14" s="4" t="inlineStr">
        <is>
          <t>All three are simulator ground truth. PDR is taken on the transmit side from the simulator's own delivery outcome for every attempt, flood relays included. RSSI is a static per-edge mean with no shadowing. Reachability is the count of neighbours alive in the simulator: not a fraction, and not 'heard recently'. The observation's 'neighbour PDRs' are those neighbours' node averages, not link PDRs.</t>
        </is>
      </c>
      <c r="H14" s="4" t="inlineStr">
        <is>
          <t>timestep.py:538-545, 736, 739-743; node.py:458-481 (_record_tx); state.py:134-138</t>
        </is>
      </c>
      <c r="I14" s="4" t="inlineStr">
        <is>
          <t>The described monitoring layer is not what was simulated; no defence beyond 'simplification'.</t>
        </is>
      </c>
      <c r="J14" s="4" t="inlineStr">
        <is>
          <t>The simulator uses oracle link state as an upper bound; local estimation is future work.</t>
        </is>
      </c>
      <c r="K14" s="2" t="inlineStr">
        <is>
          <t>5</t>
        </is>
      </c>
    </row>
    <row r="15" ht="80.55" customHeight="1" s="9">
      <c r="A15" s="2" t="inlineStr">
        <is>
          <t>C-12</t>
        </is>
      </c>
      <c r="B15" s="5" t="inlineStr">
        <is>
          <t>Major</t>
        </is>
      </c>
      <c r="C15" s="2" t="n">
        <v>80</v>
      </c>
      <c r="D15" s="4" t="inlineStr">
        <is>
          <t>Gossip</t>
        </is>
      </c>
      <c r="E15" s="4" t="inlineStr">
        <is>
          <t>IV-A</t>
        </is>
      </c>
      <c r="F15" s="4" t="inlineStr">
        <is>
          <t>The enabled arm pays gossip's airtime without consuming its content.</t>
        </is>
      </c>
      <c r="G15" s="4" t="inlineStr">
        <is>
          <t>At evaluation neither arm sends a single gossip packet: inject() returns when the value table is empty, a fresh empty scheduler is created at every reset, and evaluation never fills it. In training, the table is pushed at rollout end into a scheduler that is replaced at the next reset, and gossip fires only at steps 0, 5, 10..., so it almost never transmits once episodes are 1-3 steps.</t>
        </is>
      </c>
      <c r="H15" s="4" t="inlineStr">
        <is>
          <t>gossip.py:200; env.py:280-288, 322; run_gossip_ablation.py:136-150; ppo_trainer.py:136-140, 170-203</t>
        </is>
      </c>
      <c r="I15" s="4" t="inlineStr">
        <is>
          <t>A specific sentence in the paper is false at evaluation.</t>
        </is>
      </c>
      <c r="J15" s="4" t="inlineStr">
        <is>
          <t>The ablation exercised almost no gossip traffic; the sentence should be withdrawn.</t>
        </is>
      </c>
      <c r="K15" s="2" t="inlineStr">
        <is>
          <t>10</t>
        </is>
      </c>
    </row>
    <row r="16" ht="55.05" customHeight="1" s="9">
      <c r="A16" s="2" t="inlineStr">
        <is>
          <t>C-13</t>
        </is>
      </c>
      <c r="B16" s="5" t="inlineStr">
        <is>
          <t>Major</t>
        </is>
      </c>
      <c r="C16" s="2" t="n">
        <v>78</v>
      </c>
      <c r="D16" s="4" t="inlineStr">
        <is>
          <t>RL / statistics</t>
        </is>
      </c>
      <c r="E16" s="4" t="inlineStr">
        <is>
          <t>V-A; V-B; VI</t>
        </is>
      </c>
      <c r="F16" s="4" t="inlineStr">
        <is>
          <t>Three seeds trained; results reported for 'PPO'.</t>
        </is>
      </c>
      <c r="G16" s="4" t="inlineStr">
        <is>
          <t>Table II and the severity sweep evaluate only ppo_10x10_seed0.zip: the seed with the worst critic (explained variance -0.67), the one the paper says 'clearly hasn't converged'. This isn't disclosed, and variance between training runs is never measured.</t>
        </is>
      </c>
      <c r="H16" s="4" t="inlineStr">
        <is>
          <t>scripts/run_monte_carlo.py:53; scripts/run_damage_severity.py:63; results_rev1/convergence_summary.json</t>
        </is>
      </c>
      <c r="I16" s="4" t="inlineStr">
        <is>
          <t>Undisclosed choice of the least-converged model; easy for a reviewer to call cherry-picking or carelessness.</t>
        </is>
      </c>
      <c r="J16" s="4" t="inlineStr">
        <is>
          <t>One checkpoint was evaluated; all seeds should be evaluated and aggregated per seed.</t>
        </is>
      </c>
      <c r="K16" s="2" t="inlineStr">
        <is>
          <t>6.5</t>
        </is>
      </c>
    </row>
    <row r="17" ht="55.05" customHeight="1" s="9">
      <c r="A17" s="2" t="inlineStr">
        <is>
          <t>C-14</t>
        </is>
      </c>
      <c r="B17" s="5" t="inlineStr">
        <is>
          <t>Major</t>
        </is>
      </c>
      <c r="C17" s="2" t="n">
        <v>75</v>
      </c>
      <c r="D17" s="4" t="inlineStr">
        <is>
          <t>Figures</t>
        </is>
      </c>
      <c r="E17" s="4" t="inlineStr">
        <is>
          <t>V-D (Fig. 2)</t>
        </is>
      </c>
      <c r="F17" s="4" t="inlineStr">
        <is>
          <t>Fig. 2: PDR vs distance on the timestep backend; at 400 m, PDR stays above 0.73 under every preset.</t>
        </is>
      </c>
      <c r="G17" s="4" t="inlineStr">
        <is>
          <t>The Fig. 2 script says it 'does NOT run a mesh simulation (SimPy / TimeSteppedProvider)'; it evaluates the analytic channel with shadowing. In the backend that produced the results, a 400 m link is 1.000 at every preset, and 1,442 m at heavy is 0.9998 (Fig. 2 implies ~0.70).</t>
        </is>
      </c>
      <c r="H17" s="4" t="inlineStr">
        <is>
          <t>scripts/make_fig4_pdr_distance.py:14-16; redteam/per_table.py [derived]</t>
        </is>
      </c>
      <c r="I17" s="4" t="inlineStr">
        <is>
          <t>The caption is factually wrong, and the figure validates a channel the results didn't use.</t>
        </is>
      </c>
      <c r="J17" s="4" t="inlineStr">
        <is>
          <t>Caption error: Fig. 2 shows the analytic channel model, not the backend.</t>
        </is>
      </c>
      <c r="K17" s="2" t="inlineStr">
        <is>
          <t>3.2</t>
        </is>
      </c>
    </row>
    <row r="18" ht="80.55" customHeight="1" s="9">
      <c r="A18" s="2" t="inlineStr">
        <is>
          <t>C-15</t>
        </is>
      </c>
      <c r="B18" s="5" t="inlineStr">
        <is>
          <t>Major</t>
        </is>
      </c>
      <c r="C18" s="2" t="n">
        <v>72</v>
      </c>
      <c r="D18" s="4" t="inlineStr">
        <is>
          <t>Channel model</t>
        </is>
      </c>
      <c r="E18" s="4" t="inlineStr">
        <is>
          <t>V-B</t>
        </is>
      </c>
      <c r="F18" s="4" t="inlineStr">
        <is>
          <t>dijkstra_dynamic's PDR responds as a step at 'severe' (structural damage).</t>
        </is>
      </c>
      <c r="G18" s="4" t="inlineStr">
        <is>
          <t>The step coincides with two model discontinuities. (1) With mean-only error rates, links over ~1 km fall off a cliff only from 'severe' (1,131 m: PDR 0.026, against 1.000 at heavy). (2) The capture margin between a 400 m and a 566 m transmitter is 1.505 x n dB: 5.72 dB at heavy (collide) vs 6.32 dB at severe (capture). The paper attributes the step to damage without ruling either out.</t>
        </is>
      </c>
      <c r="H18" s="4" t="inlineStr">
        <is>
          <t>redteam/per_table.py [derived]; timestep.py:157-169, 654</t>
        </is>
      </c>
      <c r="I18" s="4" t="inlineStr">
        <is>
          <t>Two concrete model artefacts explain the step; the damage interpretation is untested.</t>
        </is>
      </c>
      <c r="J18" s="4" t="inlineStr">
        <is>
          <t>The step reflects where links cross the sensitivity threshold in this model; we don't claim a physical threshold.</t>
        </is>
      </c>
      <c r="K18" s="2" t="inlineStr">
        <is>
          <t>3.1, 3.3</t>
        </is>
      </c>
    </row>
    <row r="19" ht="55.05" customHeight="1" s="9">
      <c r="A19" s="2" t="inlineStr">
        <is>
          <t>C-16</t>
        </is>
      </c>
      <c r="B19" s="5" t="inlineStr">
        <is>
          <t>Major</t>
        </is>
      </c>
      <c r="C19" s="2" t="n">
        <v>72</v>
      </c>
      <c r="D19" s="4" t="inlineStr">
        <is>
          <t>Backend</t>
        </is>
      </c>
      <c r="E19" s="4" t="inlineStr">
        <is>
          <t>IV</t>
        </is>
      </c>
      <c r="F19" s="4" t="inlineStr">
        <is>
          <t>Up to 7.3x faster than the SimPy reference with contention enabled.</t>
        </is>
      </c>
      <c r="G19" s="4" t="inlineStr">
        <is>
          <t>The two backends were timed running different agents: SimPy ran the legacy CommAwareDijkstraBaseline (not in the paper), while timestep ran DynamicDijkstraBaseline. Wall time includes planner overhead, and the episodes differ (mean reward ~97 vs ~100 at 10x10).</t>
        </is>
      </c>
      <c r="H19" s="4" t="inlineStr">
        <is>
          <t>scripts/benchmark_scalability.py:104 vs :185; results_rev1/scalability.csv</t>
        </is>
      </c>
      <c r="I19" s="4" t="inlineStr">
        <is>
          <t>A benchmark confound with no innocent explanation.</t>
        </is>
      </c>
      <c r="J19" s="4" t="inlineStr">
        <is>
          <t>The speedup should be re-measured with the same agent on both backends.</t>
        </is>
      </c>
      <c r="K19" s="2" t="inlineStr">
        <is>
          <t>9.2</t>
        </is>
      </c>
    </row>
    <row r="20" ht="55.05" customHeight="1" s="9">
      <c r="A20" s="2" t="inlineStr">
        <is>
          <t>C-17</t>
        </is>
      </c>
      <c r="B20" s="5" t="inlineStr">
        <is>
          <t>Major</t>
        </is>
      </c>
      <c r="C20" s="2" t="n">
        <v>68</v>
      </c>
      <c r="D20" s="4" t="inlineStr">
        <is>
          <t>Protocol</t>
        </is>
      </c>
      <c r="E20" s="4" t="inlineStr">
        <is>
          <t>III (packet format)</t>
        </is>
      </c>
      <c r="F20" s="4" t="inlineStr">
        <is>
          <t>Packet headers are a 34-byte binary struct.</t>
        </is>
      </c>
      <c r="G20" s="4" t="inlineStr">
        <is>
          <t>The code says the 34 B header is 'simulator bookkeeping metadata ... never actually put on the air'; the real header is '~9 B' and is specified nowhere. The SimPy reference nevertheless puts the 34 B header on air when computing time on air.</t>
        </is>
      </c>
      <c r="H20" s="4" t="inlineStr">
        <is>
          <t>packet.py:8-14, 60-61; node.py:433</t>
        </is>
      </c>
      <c r="I20" s="4" t="inlineStr">
        <is>
          <t>The paper presents bookkeeping as the wire format; the real format is undefined.</t>
        </is>
      </c>
      <c r="J20" s="4" t="inlineStr">
        <is>
          <t>The wire format is a compact header; the 34 B struct is the simulator's record. We'll specify the on-air format.</t>
        </is>
      </c>
      <c r="K20" s="2" t="inlineStr">
        <is>
          <t>4.5</t>
        </is>
      </c>
    </row>
    <row r="21" ht="42.3" customHeight="1" s="9">
      <c r="A21" s="2" t="inlineStr">
        <is>
          <t>C-18</t>
        </is>
      </c>
      <c r="B21" s="5" t="inlineStr">
        <is>
          <t>Major</t>
        </is>
      </c>
      <c r="C21" s="2" t="n">
        <v>65</v>
      </c>
      <c r="D21" s="4" t="inlineStr">
        <is>
          <t>RL</t>
        </is>
      </c>
      <c r="E21" s="4" t="inlineStr">
        <is>
          <t>V-B</t>
        </is>
      </c>
      <c r="F21" s="4" t="inlineStr">
        <is>
          <t>Cause: a deterministic-policy livelock; a dead action-0 target is re-selected indefinitely.</t>
        </is>
      </c>
      <c r="G21" s="4" t="inlineStr">
        <is>
          <t>No committed artifact records the step-level story: per-episode data for seed block 3 is 'not recoverable', and the audit's watchlist forbids quoting step counts. The mechanism is plausible but stated as fact.</t>
        </is>
      </c>
      <c r="H21" s="4" t="inlineStr">
        <is>
          <t>results_rev2/seed3_outlier.json; &lt;CODE&gt;/AUDIT-RERUN.md section 7, item 12</t>
        </is>
      </c>
      <c r="I21" s="4" t="inlineStr">
        <is>
          <t>Plausible and consistent with the reward arithmetic, but unverifiable from the artifacts.</t>
        </is>
      </c>
      <c r="J21" s="4" t="inlineStr">
        <is>
          <t>The mechanism is inferred from the reward total and policy behaviour; we'll re-run that seed with logging.</t>
        </is>
      </c>
      <c r="K21" s="2" t="inlineStr">
        <is>
          <t>6.8</t>
        </is>
      </c>
    </row>
    <row r="22" ht="42.3" customHeight="1" s="9">
      <c r="A22" s="2" t="inlineStr">
        <is>
          <t>C-19</t>
        </is>
      </c>
      <c r="B22" s="5" t="inlineStr">
        <is>
          <t>Major</t>
        </is>
      </c>
      <c r="C22" s="2" t="n">
        <v>65</v>
      </c>
      <c r="D22" s="4" t="inlineStr">
        <is>
          <t>Statistics</t>
        </is>
      </c>
      <c r="E22" s="4" t="inlineStr">
        <is>
          <t>V-C</t>
        </is>
      </c>
      <c r="F22" s="4" t="inlineStr">
        <is>
          <t>The cleanest number: 43 seeds where both arms plan the same first route, 1.50x.</t>
        </is>
      </c>
      <c r="G22" s="4" t="inlineStr">
        <is>
          <t>Which seeds are in the subset depends on PYTHONHASHSEED (tie-breaking), and the subset differs systematically from the full sample (static PDR 0.2067 vs 0.145 overall).</t>
        </is>
      </c>
      <c r="H22" s="4" t="inlineStr">
        <is>
          <t>results_commaware/FINDINGS.md sections 2 and 4; conditional_vc.json</t>
        </is>
      </c>
      <c r="I22" s="4" t="inlineStr">
        <is>
          <t>The 'cleanest' number rests on an interpreter detail.</t>
        </is>
      </c>
      <c r="J22" s="4" t="inlineStr">
        <is>
          <t>Pin the hash seed, or break ties deterministically, and re-measure.</t>
        </is>
      </c>
      <c r="K22" s="2" t="inlineStr">
        <is>
          <t>8</t>
        </is>
      </c>
    </row>
    <row r="23" ht="42.3" customHeight="1" s="9">
      <c r="A23" s="2" t="inlineStr">
        <is>
          <t>C-20</t>
        </is>
      </c>
      <c r="B23" s="5" t="inlineStr">
        <is>
          <t>Major</t>
        </is>
      </c>
      <c r="C23" s="2" t="n">
        <v>62</v>
      </c>
      <c r="D23" s="4" t="inlineStr">
        <is>
          <t>Backend</t>
        </is>
      </c>
      <c r="E23" s="4" t="inlineStr">
        <is>
          <t>IV</t>
        </is>
      </c>
      <c r="F23" s="4" t="inlineStr">
        <is>
          <t>Up to 7.3x (contention on) and 303x (contention off).</t>
        </is>
      </c>
      <c r="G23" s="4" t="inlineStr">
        <is>
          <t>7.2-7.3x is the 5x5 figure. At 10x10 (the experiments) it is 4.7x; 4.0x at 15x15; 3.5-4.5x at 20x20 to 30x30. 303x is a median-based ratio at 15x15 with contention off (294x by mean), a mode no result uses.</t>
        </is>
      </c>
      <c r="H23" s="4" t="inlineStr">
        <is>
          <t>results_rev1/scalability.csv, scalability_nocontention.csv; redteam/speed.py [derived]</t>
        </is>
      </c>
      <c r="I23" s="4" t="inlineStr">
        <is>
          <t>'Up to' is technically true but chosen at the least relevant scale.</t>
        </is>
      </c>
      <c r="J23" s="4" t="inlineStr">
        <is>
          <t>4.7x at the experimental scale; 7.3x is the small-grid maximum.</t>
        </is>
      </c>
      <c r="K23" s="2" t="inlineStr">
        <is>
          <t>9.1</t>
        </is>
      </c>
    </row>
    <row r="24" ht="42.3" customHeight="1" s="9">
      <c r="A24" s="2" t="inlineStr">
        <is>
          <t>C-21</t>
        </is>
      </c>
      <c r="B24" s="5" t="inlineStr">
        <is>
          <t>Major</t>
        </is>
      </c>
      <c r="C24" s="2" t="n">
        <v>62</v>
      </c>
      <c r="D24" s="4" t="inlineStr">
        <is>
          <t>Metric</t>
        </is>
      </c>
      <c r="E24" s="4" t="inlineStr">
        <is>
          <t>V-C</t>
        </is>
      </c>
      <c r="F24" s="4" t="inlineStr">
        <is>
          <t>Mean PDR falls with path length; matching on steps widens the gap to 1.9-2.6x.</t>
        </is>
      </c>
      <c r="G24" s="4" t="inlineStr">
        <is>
          <t>Longer episodes include more steps after the t = 30 s beacon wipe, so PDR falling with path length is largely a clock effect, and matching on steps also matches on elapsed time.</t>
        </is>
      </c>
      <c r="H24" s="4" t="inlineStr">
        <is>
          <t>timestep.py:452-472; results_commaware/FINDINGS.md section 5</t>
        </is>
      </c>
      <c r="I24" s="4" t="inlineStr">
        <is>
          <t>The step-matched analysis inherits the beacon-timing artefact.</t>
        </is>
      </c>
      <c r="J24" s="4" t="inlineStr">
        <is>
          <t>Match on elapsed time as well, or remove the synchronised beacon artefact first.</t>
        </is>
      </c>
      <c r="K24" s="2" t="inlineStr">
        <is>
          <t>2.5</t>
        </is>
      </c>
    </row>
    <row r="25" ht="42.3" customHeight="1" s="9">
      <c r="A25" s="2" t="inlineStr">
        <is>
          <t>C-22</t>
        </is>
      </c>
      <c r="B25" s="5" t="inlineStr">
        <is>
          <t>Major</t>
        </is>
      </c>
      <c r="C25" s="2" t="n">
        <v>60</v>
      </c>
      <c r="D25" s="4" t="inlineStr">
        <is>
          <t>Metric / backend</t>
        </is>
      </c>
      <c r="E25" s="4" t="inlineStr">
        <is>
          <t>IV; V-C</t>
        </is>
      </c>
      <c r="F25" s="4" t="inlineStr">
        <is>
          <t>The separation survives a reseed.</t>
        </is>
      </c>
      <c r="G25" s="4" t="inlineStr">
        <is>
          <t>The absolute value depends on the backend: the same static paths score 0.057 on SimPy vs 0.145 on timestep (2.5x). The 1.8x ratio has never been measured with both arms on SimPy.</t>
        </is>
      </c>
      <c r="H25" s="4" t="inlineStr">
        <is>
          <t>results_rev1/baselines.csv vs results_commaware/commaware_main_10x10.csv; redteam/pdr_dist.py [derived]</t>
        </is>
      </c>
      <c r="I25" s="4" t="inlineStr">
        <is>
          <t>Robustness across simulators is untested; only robustness across hash seeds was shown.</t>
        </is>
      </c>
      <c r="J25" s="4" t="inlineStr">
        <is>
          <t>Only the ratio is claimed, and only on the timestep backend; a SimPy re-run of both arms is needed.</t>
        </is>
      </c>
      <c r="K25" s="2" t="inlineStr">
        <is>
          <t>2.7</t>
        </is>
      </c>
    </row>
    <row r="26" ht="30" customHeight="1" s="9">
      <c r="A26" s="2" t="inlineStr">
        <is>
          <t>C-23</t>
        </is>
      </c>
      <c r="B26" s="5" t="inlineStr">
        <is>
          <t>Major</t>
        </is>
      </c>
      <c r="C26" s="2" t="n">
        <v>60</v>
      </c>
      <c r="D26" s="4" t="inlineStr">
        <is>
          <t>RL</t>
        </is>
      </c>
      <c r="E26" s="4" t="inlineStr">
        <is>
          <t>V</t>
        </is>
      </c>
      <c r="F26" s="4" t="inlineStr">
        <is>
          <t>PPO trained for 3 seeds x 200k steps.</t>
        </is>
      </c>
      <c r="G26" s="4" t="inlineStr">
        <is>
          <t>PPO reaches 90% of its final reward after only 1,400-15,400 of 200,000 steps (1-11 updates). That is what a near-trivial task looks like.</t>
        </is>
      </c>
      <c r="H26" s="4" t="inlineStr">
        <is>
          <t>results_rev1/convergence_summary.json (timestep_90pct_reward)</t>
        </is>
      </c>
      <c r="I26" s="4" t="inlineStr">
        <is>
          <t>Supports the 'task too easy' reading; hard to spin as a strength.</t>
        </is>
      </c>
      <c r="J26" s="4" t="inlineStr">
        <is>
          <t>The task is easy at this density; harder topologies are needed.</t>
        </is>
      </c>
      <c r="K26" s="2" t="inlineStr">
        <is>
          <t>6.7</t>
        </is>
      </c>
    </row>
    <row r="27" ht="42.3" customHeight="1" s="9">
      <c r="A27" s="2" t="inlineStr">
        <is>
          <t>C-24</t>
        </is>
      </c>
      <c r="B27" s="5" t="inlineStr">
        <is>
          <t>Major</t>
        </is>
      </c>
      <c r="C27" s="2" t="n">
        <v>58</v>
      </c>
      <c r="D27" s="4" t="inlineStr">
        <is>
          <t>Backend</t>
        </is>
      </c>
      <c r="E27" s="4" t="inlineStr">
        <is>
          <t>IV</t>
        </is>
      </c>
      <c r="F27" s="4" t="inlineStr">
        <is>
          <t>The SimPy backend could not supply enough environment steps for RL training.</t>
        </is>
      </c>
      <c r="G27" s="4" t="inlineStr">
        <is>
          <t>With contention on, a 10x10 SimPy episode takes 0.17 s. 200k steps is ~80k short episodes, ~3-4 CPU-hours (under 1 h on 7 workers). SimPy with contention ran up to 30x30 (one timeout).</t>
        </is>
      </c>
      <c r="H27" s="4" t="inlineStr">
        <is>
          <t>results_rev1/scalability.csv</t>
        </is>
      </c>
      <c r="I27" s="4" t="inlineStr">
        <is>
          <t>The motivating premise isn't demonstrated, though speed still helps sweeps.</t>
        </is>
      </c>
      <c r="J27" s="4" t="inlineStr">
        <is>
          <t>It was feasible but slow; the fast backend made sweeps practical.</t>
        </is>
      </c>
      <c r="K27" s="2" t="inlineStr">
        <is>
          <t>9.3</t>
        </is>
      </c>
    </row>
    <row r="28" ht="55.05" customHeight="1" s="9">
      <c r="A28" s="2" t="inlineStr">
        <is>
          <t>C-25</t>
        </is>
      </c>
      <c r="B28" s="5" t="inlineStr">
        <is>
          <t>Major</t>
        </is>
      </c>
      <c r="C28" s="2" t="n">
        <v>55</v>
      </c>
      <c r="D28" s="4" t="inlineStr">
        <is>
          <t>RL</t>
        </is>
      </c>
      <c r="E28" s="4" t="inlineStr">
        <is>
          <t>III (observation)</t>
        </is>
      </c>
      <c r="F28" s="4" t="inlineStr">
        <is>
          <t>A 24-dimensional observation.</t>
        </is>
      </c>
      <c r="G28" s="4" t="inlineStr">
        <is>
          <t>Several features are constant. Reachable/8 and density/8 clip to 1 (degree &gt;= 14 everywhere); battery is ~1.0 (the drain never reaches it); elapsed fraction is &lt;= 0.015; max neighbour RSSI always comes from the 400 m neighbour, so it is constant per preset.</t>
        </is>
      </c>
      <c r="H28" s="4" t="inlineStr">
        <is>
          <t>state.py:106-108, 168-169, 180-185; action_space_audit.json (min degree 14)</t>
        </is>
      </c>
      <c r="I28" s="4" t="inlineStr">
        <is>
          <t>Constant features are harmless but show the observation wasn't checked.</t>
        </is>
      </c>
      <c r="J28" s="4" t="inlineStr">
        <is>
          <t>Redundant features are harmless; they will matter on sparser meshes.</t>
        </is>
      </c>
      <c r="K28" s="2" t="inlineStr">
        <is>
          <t>6.4</t>
        </is>
      </c>
    </row>
    <row r="29" ht="55.05" customHeight="1" s="9">
      <c r="A29" s="2" t="inlineStr">
        <is>
          <t>C-26</t>
        </is>
      </c>
      <c r="B29" s="5" t="inlineStr">
        <is>
          <t>Major</t>
        </is>
      </c>
      <c r="C29" s="2" t="n">
        <v>55</v>
      </c>
      <c r="D29" s="4" t="inlineStr">
        <is>
          <t>Protocol / simulator</t>
        </is>
      </c>
      <c r="E29" s="4" t="inlineStr">
        <is>
          <t>III (forwarding)</t>
        </is>
      </c>
      <c r="F29" s="4" t="inlineStr">
        <is>
          <t>A node overhearing K = 3 duplicates before its own random forward timer fires cancels its transmission.</t>
        </is>
      </c>
      <c r="G29" s="4" t="inlineStr">
        <is>
          <t>The timestep backend has no forward timer: all forwarders in a round transmit at once, and suppression only counts duplicates from earlier rounds. Half-duplex isn't modelled either: nodes transmit and receive in the same round.</t>
        </is>
      </c>
      <c r="H29" s="4" t="inlineStr">
        <is>
          <t>timestep.py:489-536, 500-505</t>
        </is>
      </c>
      <c r="I29" s="4" t="inlineStr">
        <is>
          <t>The simulated forwarding isn't the described forwarding.</t>
        </is>
      </c>
      <c r="J29" s="4" t="inlineStr">
        <is>
          <t>The round-based backend approximates the timer; the reference backend models timing.</t>
        </is>
      </c>
      <c r="K29" s="2" t="inlineStr">
        <is>
          <t>4.4</t>
        </is>
      </c>
    </row>
    <row r="30" ht="67.8" customHeight="1" s="9">
      <c r="A30" s="2" t="inlineStr">
        <is>
          <t>C-27</t>
        </is>
      </c>
      <c r="B30" s="5" t="inlineStr">
        <is>
          <t>Major</t>
        </is>
      </c>
      <c r="C30" s="2" t="n">
        <v>45</v>
      </c>
      <c r="D30" s="4" t="inlineStr">
        <is>
          <t>Baselines</t>
        </is>
      </c>
      <c r="E30" s="4" t="inlineStr">
        <is>
          <t>V</t>
        </is>
      </c>
      <c r="F30" s="4" t="inlineStr">
        <is>
          <t>astar_static and astar_dynamic use a Euclidean heuristic.</t>
        </is>
      </c>
      <c r="G30" s="4" t="inlineStr">
        <is>
          <t>The heuristic is distance in metres (hundreds to thousands) added to costs of 1 per hop or 1/PDR (at most 100). It's inadmissible, so A* degenerates to greedy best-first search and the PDR weights barely matter. That explains the A* null better than 'the replan trigger rarely fires'. The docstring claims admissibility.</t>
        </is>
      </c>
      <c r="H30" s="4" t="inlineStr">
        <is>
          <t>baselines.py:227-229, 367-369, 452-469</t>
        </is>
      </c>
      <c r="I30" s="4" t="inlineStr">
        <is>
          <t>Little effect on reported results (A* matched Dijkstra hop counts on this dense grid).</t>
        </is>
      </c>
      <c r="J30" s="4" t="inlineStr">
        <is>
          <t>On this grid A* finds shortest-hop paths anyway; the heuristic will be rescaled.</t>
        </is>
      </c>
      <c r="K30" s="2" t="inlineStr">
        <is>
          <t>7.2</t>
        </is>
      </c>
    </row>
    <row r="31" ht="30" customHeight="1" s="9">
      <c r="A31" s="2" t="inlineStr">
        <is>
          <t>C-28</t>
        </is>
      </c>
      <c r="B31" s="5" t="inlineStr">
        <is>
          <t>Major</t>
        </is>
      </c>
      <c r="C31" s="2" t="n">
        <v>40</v>
      </c>
      <c r="D31" s="4" t="inlineStr">
        <is>
          <t>RL</t>
        </is>
      </c>
      <c r="E31" s="4" t="inlineStr">
        <is>
          <t>V-A</t>
        </is>
      </c>
      <c r="F31" s="4" t="inlineStr">
        <is>
          <t>PPO at 15x15: median 4 [3, 4.25].</t>
        </is>
      </c>
      <c r="G31" s="4" t="inlineStr">
        <is>
          <t>The 15x15 PPO is the 10x10 checkpoint evaluated zero-shot; the paper doesn't say so.</t>
        </is>
      </c>
      <c r="H31" s="4" t="inlineStr">
        <is>
          <t>scripts/run_monte_carlo.py:53, 60</t>
        </is>
      </c>
      <c r="I31" s="4" t="inlineStr">
        <is>
          <t>Easy to defend as a generalisation test; only the disclosure is missing.</t>
        </is>
      </c>
      <c r="J31" s="4" t="inlineStr">
        <is>
          <t>It's a zero-shot transfer from 10x10, which is arguably a strength.</t>
        </is>
      </c>
      <c r="K31" s="2" t="inlineStr">
        <is>
          <t>6.6</t>
        </is>
      </c>
    </row>
    <row r="32" ht="42.3" customHeight="1" s="9">
      <c r="A32" s="2" t="inlineStr">
        <is>
          <t>C-29</t>
        </is>
      </c>
      <c r="B32" s="6" t="inlineStr">
        <is>
          <t>Minor</t>
        </is>
      </c>
      <c r="C32" s="2" t="n">
        <v>50</v>
      </c>
      <c r="D32" s="4" t="inlineStr">
        <is>
          <t>Backend</t>
        </is>
      </c>
      <c r="E32" s="4" t="inlineStr">
        <is>
          <t>IV</t>
        </is>
      </c>
      <c r="F32" s="4" t="inlineStr">
        <is>
          <t>KS tests separate PDR and delivery count (p &lt; 10^-3).</t>
        </is>
      </c>
      <c r="G32" s="4" t="inlineStr">
        <is>
          <t>For delivery count the KS statistic is 1.0 at 10x10: the two distributions don't overlap at all. 'p &lt; 10^-3' understates the gap.</t>
        </is>
      </c>
      <c r="H32" s="4" t="inlineStr">
        <is>
          <t>results_rev1/equivalence/ks_table.csv</t>
        </is>
      </c>
      <c r="I32" s="4" t="inlineStr">
        <is>
          <t>Disclosed in direction, understated in size.</t>
        </is>
      </c>
      <c r="J32" s="4" t="inlineStr">
        <is>
          <t>The backends differ completely on absolute traffic, which is why only liveness is claimed equivalent.</t>
        </is>
      </c>
      <c r="K32" s="2" t="inlineStr">
        <is>
          <t>9.4</t>
        </is>
      </c>
    </row>
    <row r="33" ht="42.3" customHeight="1" s="9">
      <c r="A33" s="2" t="inlineStr">
        <is>
          <t>C-30</t>
        </is>
      </c>
      <c r="B33" s="6" t="inlineStr">
        <is>
          <t>Minor</t>
        </is>
      </c>
      <c r="C33" s="2" t="n">
        <v>35</v>
      </c>
      <c r="D33" s="4" t="inlineStr">
        <is>
          <t>Baselines</t>
        </is>
      </c>
      <c r="E33" s="4" t="inlineStr">
        <is>
          <t>(not in paper)</t>
        </is>
      </c>
      <c r="F33" s="4" t="inlineStr">
        <is>
          <t>(Runner implementation detail.)</t>
        </is>
      </c>
      <c r="G33" s="4" t="inlineStr">
        <is>
          <t>When a planner's target isn't a neighbour, the runner falls back to action 0: a valid move to the lowest-ID neighbour (toward the safe zones), not the invalid action its docstring says.</t>
        </is>
      </c>
      <c r="H33" s="4" t="inlineStr">
        <is>
          <t>runner.py:138-159</t>
        </is>
      </c>
      <c r="I33" s="4" t="inlineStr">
        <is>
          <t>Rare, because failures are rare; minor effect on results.</t>
        </is>
      </c>
      <c r="J33" s="4" t="inlineStr">
        <is>
          <t>A rare fallback with negligible effect; to be fixed.</t>
        </is>
      </c>
      <c r="K33" s="2" t="inlineStr">
        <is>
          <t>7.4</t>
        </is>
      </c>
    </row>
  </sheetData>
  <autoFilter ref="A3:K33"/>
  <mergeCells count="2">
    <mergeCell ref="A2:K2"/>
    <mergeCell ref="A1:K1"/>
  </mergeCells>
  <conditionalFormatting sqref="C4:C33">
    <cfRule type="colorScale" priority="1">
      <colorScale>
        <cfvo type="num" val="1"/>
        <cfvo type="num" val="50"/>
        <cfvo type="num" val="100"/>
        <color rgb="FF63BE7B"/>
        <color rgb="FFFFEB84"/>
        <color rgb="FFF8696B"/>
      </colorScale>
    </cfRule>
  </conditionalFormatting>
  <dataValidations count="2">
    <dataValidation sqref="B4:B33" showDropDown="0" showInputMessage="0" showErrorMessage="0" allowBlank="0" type="list">
      <formula1>"Critical,Major,Minor"</formula1>
    </dataValidation>
    <dataValidation sqref="C4:C33" showDropDown="0" showInputMessage="0" showErrorMessage="1" allowBlank="0" error="Rating must be a whole number from 1 to 100." type="whole">
      <formula1>1</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tabSelected="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4.4"/>
  <cols>
    <col width="7" customWidth="1" style="9" min="1" max="1"/>
    <col width="11" customWidth="1" style="9" min="2" max="2"/>
    <col width="10" customWidth="1" style="9" min="3" max="3"/>
    <col width="16" customWidth="1" style="9" min="4" max="4"/>
    <col width="13" customWidth="1" style="9" min="5" max="5"/>
    <col width="38" customWidth="1" style="9" min="6" max="6"/>
    <col width="62" customWidth="1" style="9" min="7" max="7"/>
    <col width="42" customWidth="1" style="9" min="8" max="8"/>
    <col width="36" customWidth="1" style="9" min="9" max="9"/>
    <col width="42" customWidth="1" style="9" min="10" max="10"/>
    <col width="9" customWidth="1" style="9" min="11" max="11"/>
    <col width="12" customWidth="1" style="9" min="13" max="13"/>
    <col width="9" customWidth="1" style="9" min="14" max="14"/>
    <col width="11" customWidth="1" style="9" min="15" max="15"/>
  </cols>
  <sheetData>
    <row r="1" ht="22.05" customHeight="1" s="9">
      <c r="A1" s="10" t="inlineStr">
        <is>
          <t>ABOT red team: attacks anyone can make from the paper alone</t>
        </is>
      </c>
    </row>
    <row r="2" ht="64.05" customHeight="1" s="9">
      <c r="A2" s="8" t="inlineStr">
        <is>
          <t>A reviewer or audience member with only the camera-ready paper and general networking/RL knowledge can raise these. Where the code confirms a point, the Evidence column says so.    Priority (same labels as ABOT-red-team.md): Critical = undermines a headline claim; Major = undermines a secondary claim or the paper's framing; Minor = presentation, citations or wording.    Rating (1-100) = how hard the paper's position is to justify if this point is raised: 1 = easiest to justify (a convincing answer exists); 100 = hardest (no defence beyond conceding). Priority and rating are independent: a typo is Minor but can't be justified, so it rates high.    Ratings are the reviewer's judgement; the 'Why this rating' column gives the reason for each. [derived] = computed with a script in redteam/; [ext] = outside fact, verify before quoting. Code paths are relative to &lt;CODE&gt;/darwinV2/.</t>
        </is>
      </c>
    </row>
    <row r="3" ht="30" customHeight="1" s="9">
      <c r="A3" s="1" t="inlineStr">
        <is>
          <t>ID</t>
        </is>
      </c>
      <c r="B3" s="1" t="inlineStr">
        <is>
          <t>Priority</t>
        </is>
      </c>
      <c r="C3" s="1" t="inlineStr">
        <is>
          <t>Rating (1-100)</t>
        </is>
      </c>
      <c r="D3" s="1" t="inlineStr">
        <is>
          <t>Area</t>
        </is>
      </c>
      <c r="E3" s="1" t="inlineStr">
        <is>
          <t>Paper section</t>
        </is>
      </c>
      <c r="F3" s="1" t="inlineStr">
        <is>
          <t>What the paper says</t>
        </is>
      </c>
      <c r="G3" s="1" t="inlineStr">
        <is>
          <t>The attack</t>
        </is>
      </c>
      <c r="H3" s="1" t="inlineStr">
        <is>
          <t>Evidence</t>
        </is>
      </c>
      <c r="I3" s="1" t="inlineStr">
        <is>
          <t>Why this rating</t>
        </is>
      </c>
      <c r="J3" s="1" t="inlineStr">
        <is>
          <t>Best available response</t>
        </is>
      </c>
      <c r="K3" s="1" t="inlineStr">
        <is>
          <t>Critique §</t>
        </is>
      </c>
      <c r="M3" s="1" t="inlineStr">
        <is>
          <t>Summary</t>
        </is>
      </c>
      <c r="N3" s="1" t="inlineStr">
        <is>
          <t>Count</t>
        </is>
      </c>
      <c r="O3" s="1" t="inlineStr">
        <is>
          <t>Avg rating</t>
        </is>
      </c>
    </row>
    <row r="4" ht="42.3" customHeight="1" s="9">
      <c r="A4" s="2" t="inlineStr">
        <is>
          <t>P-01</t>
        </is>
      </c>
      <c r="B4" s="3" t="inlineStr">
        <is>
          <t>Critical</t>
        </is>
      </c>
      <c r="C4" s="2" t="n">
        <v>85</v>
      </c>
      <c r="D4" s="4" t="inlineStr">
        <is>
          <t>Evaluation task / metric</t>
        </is>
      </c>
      <c r="E4" s="4" t="inlineStr">
        <is>
          <t>Abstract; V; VII</t>
        </is>
      </c>
      <c r="F4" s="4" t="inlineStr">
        <is>
          <t>'Improved packet delivery performance'; 'the ablations locate the measured delivery gain in live link state alone'.</t>
        </is>
      </c>
      <c r="G4" s="4" t="inlineStr">
        <is>
          <t>The system's purpose, an SOS reaching a rescue node, is never measured: no end-to-end SOS delivery ratio and no latency. 'Mean link PDR' is never defined, and nothing in the paper is delivery to a rescuer.</t>
        </is>
      </c>
      <c r="H4" s="4" t="inlineStr">
        <is>
          <t>Paper V (no delivery or latency results); abstract; conclusion</t>
        </is>
      </c>
      <c r="I4" s="4" t="inlineStr">
        <is>
          <t>The core function of a disaster-communication system is unreported.</t>
        </is>
      </c>
      <c r="J4" s="4" t="inlineStr">
        <is>
          <t>The paper evaluates routing choices on link-state metrics; end-to-end SOS delivery is the next experiment.</t>
        </is>
      </c>
      <c r="K4" s="2" t="inlineStr">
        <is>
          <t>1.2, 2.6, 12</t>
        </is>
      </c>
      <c r="M4" s="3" t="inlineStr">
        <is>
          <t>Critical</t>
        </is>
      </c>
      <c r="N4" s="2">
        <f>COUNTIF($B$4:$B$55,M4)</f>
        <v>7</v>
      </c>
      <c r="O4" s="2">
        <f>IFERROR(ROUND(AVERAGEIF($B$4:$B$55,M4,$C$4:$C$55),0),"-")</f>
        <v>82</v>
      </c>
    </row>
    <row r="5" ht="80.55" customHeight="1" s="9">
      <c r="A5" s="2" t="inlineStr">
        <is>
          <t>P-02</t>
        </is>
      </c>
      <c r="B5" s="3" t="inlineStr">
        <is>
          <t>Critical</t>
        </is>
      </c>
      <c r="C5" s="2" t="n">
        <v>85</v>
      </c>
      <c r="D5" s="4" t="inlineStr">
        <is>
          <t>Time scales</t>
        </is>
      </c>
      <c r="E5" s="4" t="inlineStr">
        <is>
          <t>III; RL env; V-A</t>
        </is>
      </c>
      <c r="F5" s="4" t="inlineStr">
        <is>
          <t>A 200-step cap (~33 min) is 'a representative post-disaster routing window'; PDR over 50 packets (~25 min); failure rate 1/3600 per second; 300 s battery drain.</t>
        </is>
      </c>
      <c r="G5" s="4" t="inlineStr">
        <is>
          <t>Median episodes are 2-4 steps x 10 s = 20-40 s simulated. In that time there is at most one 30 s beacon round; the 25-minute PDR window can't fill; a given node fails with probability ~0.8% per 30 s (~0.4 sudden deaths per 100-node episode, since half of failures are graceful and need 300 s); and the 20% battery threshold (&gt;= 240 s into a drain) is never reached. The dynamics that motivate the paper barely act.</t>
        </is>
      </c>
      <c r="H5" s="4" t="inlineStr">
        <is>
          <t>Paper III and V-A medians; arithmetic [derived]</t>
        </is>
      </c>
      <c r="I5" s="4" t="inlineStr">
        <is>
          <t>Anyone can do this arithmetic from the paper's own numbers.</t>
        </is>
      </c>
      <c r="J5" s="4" t="inlineStr">
        <is>
          <t>The dense grid makes routes short; longer, sparser scenarios are needed for the dynamics to matter.</t>
        </is>
      </c>
      <c r="K5" s="2" t="inlineStr">
        <is>
          <t>1.4</t>
        </is>
      </c>
      <c r="M5" s="5" t="inlineStr">
        <is>
          <t>Major</t>
        </is>
      </c>
      <c r="N5" s="2">
        <f>COUNTIF($B$4:$B$55,M5)</f>
        <v>28</v>
      </c>
      <c r="O5" s="2">
        <f>IFERROR(ROUND(AVERAGEIF($B$4:$B$55,M5,$C$4:$C$55),0),"-")</f>
        <v>66</v>
      </c>
    </row>
    <row r="6" ht="67.8" customHeight="1" s="9">
      <c r="A6" s="2" t="inlineStr">
        <is>
          <t>P-03</t>
        </is>
      </c>
      <c r="B6" s="3" t="inlineStr">
        <is>
          <t>Critical</t>
        </is>
      </c>
      <c r="C6" s="2" t="n">
        <v>85</v>
      </c>
      <c r="D6" s="4" t="inlineStr">
        <is>
          <t>Architecture</t>
        </is>
      </c>
      <c r="E6" s="4" t="inlineStr">
        <is>
          <t>III (routing layer); V</t>
        </is>
      </c>
      <c r="F6" s="4" t="inlineStr">
        <is>
          <t>Routing uses live network state for dynamic Dijkstra; the design is fully decentralised, with no central coordinator.</t>
        </is>
      </c>
      <c r="G6" s="4" t="inlineStr">
        <is>
          <t>Beacons carry only the sender's ID; ROUTE_UPDATE is listed but never described; and the evaluated planners read a global snapshot. Nothing disseminates link state, so global Dijkstra can't run on the gateway-free protocol, and its airtime cost on an SF12 channel is unmodelled. The 'supported result' holds only for an oracle planner.</t>
        </is>
      </c>
      <c r="H6" s="4" t="inlineStr">
        <is>
          <t>Paper III (beacon payload; planners receive the global snapshot). Code confirms ROUTE_UPDATE and ACK are never sent; runner.py:94-96.</t>
        </is>
      </c>
      <c r="I6" s="4" t="inlineStr">
        <is>
          <t>The headline result can't be implemented by the protocol as described.</t>
        </is>
      </c>
      <c r="J6" s="4" t="inlineStr">
        <is>
          <t>The planners are an oracle upper bound; a link-state dissemination protocol and its airtime cost are future work.</t>
        </is>
      </c>
      <c r="K6" s="2" t="inlineStr">
        <is>
          <t>4.8</t>
        </is>
      </c>
      <c r="M6" s="6" t="inlineStr">
        <is>
          <t>Minor</t>
        </is>
      </c>
      <c r="N6" s="2">
        <f>COUNTIF($B$4:$B$55,M6)</f>
        <v>17</v>
      </c>
      <c r="O6" s="2">
        <f>IFERROR(ROUND(AVERAGEIF($B$4:$B$55,M6,$C$4:$C$55),0),"-")</f>
        <v>54</v>
      </c>
    </row>
    <row r="7" ht="55.05" customHeight="1" s="9">
      <c r="A7" s="2" t="inlineStr">
        <is>
          <t>P-04</t>
        </is>
      </c>
      <c r="B7" s="3" t="inlineStr">
        <is>
          <t>Critical</t>
        </is>
      </c>
      <c r="C7" s="2" t="n">
        <v>82</v>
      </c>
      <c r="D7" s="4" t="inlineStr">
        <is>
          <t>Metric</t>
        </is>
      </c>
      <c r="E7" s="4" t="inlineStr">
        <is>
          <t>V-A; V-C</t>
        </is>
      </c>
      <c r="F7" s="4" t="inlineStr">
        <is>
          <t>Success at ceiling; mean link PDR 0.145 (static) and 0.267 (dynamic).</t>
        </is>
      </c>
      <c r="G7" s="4" t="inlineStr">
        <is>
          <t>If these were per-hop delivery probabilities, end-to-end delivery would be ~0.145^2.17 = 1.5% vs ~0.267^3.23 = 1.4%: a tie, and both absurd next to 100% success. A mean of per-hop values rewards longer paths and hides how loss compounds.</t>
        </is>
      </c>
      <c r="H7" s="4" t="inlineStr">
        <is>
          <t>Paper V-A means (2.17, 3.23) and V-C PDRs; arithmetic</t>
        </is>
      </c>
      <c r="I7" s="4" t="inlineStr">
        <is>
          <t>The two headline numbers can't both mean what the paper implies.</t>
        </is>
      </c>
      <c r="J7" s="4" t="inlineStr">
        <is>
          <t>The 'link PDR' is a path-level health indicator, not per-hop delivery; success doesn't depend on it in this task.</t>
        </is>
      </c>
      <c r="K7" s="2" t="inlineStr">
        <is>
          <t>2.4</t>
        </is>
      </c>
      <c r="M7" s="7" t="inlineStr">
        <is>
          <t>All</t>
        </is>
      </c>
      <c r="N7" s="7">
        <f>SUM(N4:N6)</f>
        <v>52</v>
      </c>
      <c r="O7" s="7">
        <f>IFERROR(ROUND(AVERAGE($C$4:$C$55),0),"-")</f>
        <v>64</v>
      </c>
    </row>
    <row r="8" ht="55.05" customHeight="1" s="9">
      <c r="A8" s="2" t="inlineStr">
        <is>
          <t>P-05</t>
        </is>
      </c>
      <c r="B8" s="3" t="inlineStr">
        <is>
          <t>Critical</t>
        </is>
      </c>
      <c r="C8" s="2" t="n">
        <v>80</v>
      </c>
      <c r="D8" s="4" t="inlineStr">
        <is>
          <t>Evaluation task</t>
        </is>
      </c>
      <c r="E8" s="4" t="inlineStr">
        <is>
          <t>V-A; V-B</t>
        </is>
      </c>
      <c r="F8" s="4" t="inlineStr">
        <is>
          <t>Success is at ceiling for all five agents; they separate on path efficiency.</t>
        </is>
      </c>
      <c r="G8" s="4" t="inlineStr">
        <is>
          <t>Every agent succeeds ~100% at every severity, and only one agent's metric responds to severity, in a single step. Routes are 2-4 hops on a ~30-neighbour mesh. The task can't discriminate disaster robustness, so why should a reader believe routing under damage was tested?</t>
        </is>
      </c>
      <c r="H8" s="4" t="inlineStr">
        <is>
          <t>Paper V-A, V-B; III (degree 30.7). Code confirms hops aren't gated by the channel.</t>
        </is>
      </c>
      <c r="I8" s="4" t="inlineStr">
        <is>
          <t>The paper's own numbers show the task is saturated.</t>
        </is>
      </c>
      <c r="J8" s="4" t="inlineStr">
        <is>
          <t>The scenario is deliberately dense; sparser and larger meshes are future work.</t>
        </is>
      </c>
      <c r="K8" s="2" t="inlineStr">
        <is>
          <t>1.1, 1.3</t>
        </is>
      </c>
    </row>
    <row r="9" ht="55.05" customHeight="1" s="9">
      <c r="A9" s="2" t="inlineStr">
        <is>
          <t>P-06</t>
        </is>
      </c>
      <c r="B9" s="3" t="inlineStr">
        <is>
          <t>Critical</t>
        </is>
      </c>
      <c r="C9" s="2" t="n">
        <v>80</v>
      </c>
      <c r="D9" s="4" t="inlineStr">
        <is>
          <t>MAC / capacity</t>
        </is>
      </c>
      <c r="E9" s="4" t="inlineStr">
        <is>
          <t>III; VI</t>
        </is>
      </c>
      <c r="F9" s="4" t="inlineStr">
        <is>
          <t>SF12, 30 s beacons, mean degree 30.7, ~4.4% occupancy per node.</t>
        </is>
      </c>
      <c r="G9" s="4" t="inlineStr">
        <is>
          <t>Each receiver hears ~30.7 neighbours x 4.4% = ~1.35 Erlang of beacon traffic alone (~2.0 with a 34 B header). Pure-ALOHA survival is ~e^(-2G) = 2-7%. The design saturates its own channel before any SOS traffic, so beacon-based link monitoring can't work at this density.</t>
        </is>
      </c>
      <c r="H9" s="4" t="inlineStr">
        <is>
          <t>Paper III and VI; arithmetic [derived]</t>
        </is>
      </c>
      <c r="I9" s="4" t="inlineStr">
        <is>
          <t>Basic channel-capacity arithmetic from the paper's own parameters.</t>
        </is>
      </c>
      <c r="J9" s="4" t="inlineStr">
        <is>
          <t>At this density, beacon rate or spreading factor must adapt; we'll study adaptive beaconing.</t>
        </is>
      </c>
      <c r="K9" s="2" t="inlineStr">
        <is>
          <t>4.1</t>
        </is>
      </c>
    </row>
    <row r="10" ht="42.3" customHeight="1" s="9">
      <c r="A10" s="2" t="inlineStr">
        <is>
          <t>P-07</t>
        </is>
      </c>
      <c r="B10" s="3" t="inlineStr">
        <is>
          <t>Critical</t>
        </is>
      </c>
      <c r="C10" s="2" t="n">
        <v>75</v>
      </c>
      <c r="D10" s="4" t="inlineStr">
        <is>
          <t>Metric</t>
        </is>
      </c>
      <c r="E10" s="4" t="inlineStr">
        <is>
          <t>V-C</t>
        </is>
      </c>
      <c r="F10" s="4" t="inlineStr">
        <is>
          <t>Removing live PDR from the Dijkstra planner's edge cost lowers mean link PDR from 0.267 to 0.145.</t>
        </is>
      </c>
      <c r="G10" s="4" t="inlineStr">
        <is>
          <t>The dynamic planner weights edges by PDR and is then evaluated on the mean PDR along its path, so removing the objective lowers the objective. This shows the signal changes routes, not that it improves delivery.</t>
        </is>
      </c>
      <c r="H10" s="4" t="inlineStr">
        <is>
          <t>Paper V (baseline definitions), V-C</t>
        </is>
      </c>
      <c r="I10" s="4" t="inlineStr">
        <is>
          <t>Partly defensible ('the point is that consuming the signal changes routes'), but the paper claims a delivery gain.</t>
        </is>
      </c>
      <c r="J10" s="4" t="inlineStr">
        <is>
          <t>The claim is that live state changes route choice; delivery is untested.</t>
        </is>
      </c>
      <c r="K10" s="2" t="inlineStr">
        <is>
          <t>2.2</t>
        </is>
      </c>
    </row>
    <row r="11" ht="55.05" customHeight="1" s="9">
      <c r="A11" s="2" t="inlineStr">
        <is>
          <t>P-08</t>
        </is>
      </c>
      <c r="B11" s="5" t="inlineStr">
        <is>
          <t>Major</t>
        </is>
      </c>
      <c r="C11" s="2" t="n">
        <v>80</v>
      </c>
      <c r="D11" s="4" t="inlineStr">
        <is>
          <t>Framing</t>
        </is>
      </c>
      <c r="E11" s="4" t="inlineStr">
        <is>
          <t>Abstract</t>
        </is>
      </c>
      <c r="F11" s="4" t="inlineStr">
        <is>
          <t>'Improved packet delivery performance under moderate infrastructure degradation' and 'limitations of RL-based routing under extreme network collapse'.</t>
        </is>
      </c>
      <c r="G11" s="4" t="inlineStr">
        <is>
          <t>No result is specific to 'moderate' (dynamic PDR is flat from intact to heavy). V-B says PPO is flat across presets, and the outlier block is just as bad at intact (~16.9). The abstract contradicts the body.</t>
        </is>
      </c>
      <c r="H11" s="4" t="inlineStr">
        <is>
          <t>Paper abstract vs V-B</t>
        </is>
      </c>
      <c r="I11" s="4" t="inlineStr">
        <is>
          <t>The text contradicts itself; only concession works.</t>
        </is>
      </c>
      <c r="J11" s="4" t="inlineStr">
        <is>
          <t>The abstract's wording overstates; the RL weakness comes from the action space, not severity.</t>
        </is>
      </c>
      <c r="K11" s="2" t="inlineStr">
        <is>
          <t>12</t>
        </is>
      </c>
    </row>
    <row r="12" ht="42.3" customHeight="1" s="9">
      <c r="A12" s="2" t="inlineStr">
        <is>
          <t>P-09</t>
        </is>
      </c>
      <c r="B12" s="5" t="inlineStr">
        <is>
          <t>Major</t>
        </is>
      </c>
      <c r="C12" s="2" t="n">
        <v>80</v>
      </c>
      <c r="D12" s="4" t="inlineStr">
        <is>
          <t>Citations</t>
        </is>
      </c>
      <c r="E12" s="4" t="inlineStr">
        <is>
          <t>I</t>
        </is>
      </c>
      <c r="F12" s="4" t="inlineStr">
        <is>
          <t>'Causing 6.7 million deaths in the 1990s alone' [3].</t>
        </is>
      </c>
      <c r="G12" s="4" t="inlineStr">
        <is>
          <t>EM-DAT-based summaries put 1990s natural-disaster deaths under ~0.8 M, and a typical recent year at 10-20k [ext, verify against [3]]. Probably misquoted, and it's the paper's opening statistic.</t>
        </is>
      </c>
      <c r="H12" s="4" t="inlineStr">
        <is>
          <t>Our World in Data; vLex [ext]</t>
        </is>
      </c>
      <c r="I12" s="4" t="inlineStr">
        <is>
          <t>If wrong, it's indefensible and highly visible on an opening slide.</t>
        </is>
      </c>
      <c r="J12" s="4" t="inlineStr">
        <is>
          <t>Check [3]; if it's misquoted, say so and use the EM-DAT figure.</t>
        </is>
      </c>
      <c r="K12" s="2" t="inlineStr">
        <is>
          <t>13</t>
        </is>
      </c>
    </row>
    <row r="13" ht="55.05" customHeight="1" s="9">
      <c r="A13" s="2" t="inlineStr">
        <is>
          <t>P-10</t>
        </is>
      </c>
      <c r="B13" s="5" t="inlineStr">
        <is>
          <t>Major</t>
        </is>
      </c>
      <c r="C13" s="2" t="n">
        <v>78</v>
      </c>
      <c r="D13" s="4" t="inlineStr">
        <is>
          <t>Baselines</t>
        </is>
      </c>
      <c r="E13" s="4" t="inlineStr">
        <is>
          <t>V</t>
        </is>
      </c>
      <c r="F13" s="4" t="inlineStr">
        <is>
          <t>Four baselines: static and dynamic Dijkstra and A*.</t>
        </is>
      </c>
      <c r="G13" s="4" t="inlineStr">
        <is>
          <t>None is a decentralised protocol: no pure flooding, no Gossip3 alone (ABOT's own forwarding), no Meshtastic managed flooding, no AODV/DSR, no OLSR / B.A.T.M.A.N. / Babel with ETX, no greedy geographic (GPSR), though geo-greedy is part of ABOT itself. All four use a global snapshot.</t>
        </is>
      </c>
      <c r="H13" s="4" t="inlineStr">
        <is>
          <t>Paper V; II</t>
        </is>
      </c>
      <c r="I13" s="4" t="inlineStr">
        <is>
          <t>A decentralisation paper with only centralised baselines.</t>
        </is>
      </c>
      <c r="J13" s="4" t="inlineStr">
        <is>
          <t>These are algorithmic upper bounds; protocol baselines are planned.</t>
        </is>
      </c>
      <c r="K13" s="2" t="inlineStr">
        <is>
          <t>7.1</t>
        </is>
      </c>
    </row>
    <row r="14" ht="55.05" customHeight="1" s="9">
      <c r="A14" s="2" t="inlineStr">
        <is>
          <t>P-11</t>
        </is>
      </c>
      <c r="B14" s="5" t="inlineStr">
        <is>
          <t>Major</t>
        </is>
      </c>
      <c r="C14" s="2" t="n">
        <v>75</v>
      </c>
      <c r="D14" s="4" t="inlineStr">
        <is>
          <t>Novelty</t>
        </is>
      </c>
      <c r="E14" s="4" t="inlineStr">
        <is>
          <t>II (gap 2)</t>
        </is>
      </c>
      <c r="F14" s="4" t="inlineStr">
        <is>
          <t>Link-quality-aware routing acts on static topology or failure-triggered recomputation.</t>
        </is>
      </c>
      <c r="G14" s="4" t="inlineStr">
        <is>
          <t>A 1/PDR edge cost is ETX (De Couto et al., 2003). OLSR-ETX, B.A.T.M.A.N. (TQ) and Babel (RFC 8966) update link quality continuously from hello statistics. Twenty years of mesh-routing work contradict the gap and aren't cited [ext].</t>
        </is>
      </c>
      <c r="H14" s="4" t="inlineStr">
        <is>
          <t>[ext]</t>
        </is>
      </c>
      <c r="I14" s="4" t="inlineStr">
        <is>
          <t>A well-known literature directly contradicts the stated gap.</t>
        </is>
      </c>
      <c r="J14" s="4" t="inlineStr">
        <is>
          <t>The novelty is applying it to gateway-free LoRa under damage presets, not the metric itself.</t>
        </is>
      </c>
      <c r="K14" s="2" t="inlineStr">
        <is>
          <t>11.1</t>
        </is>
      </c>
    </row>
    <row r="15" ht="55.05" customHeight="1" s="9">
      <c r="A15" s="2" t="inlineStr">
        <is>
          <t>P-12</t>
        </is>
      </c>
      <c r="B15" s="5" t="inlineStr">
        <is>
          <t>Major</t>
        </is>
      </c>
      <c r="C15" s="2" t="n">
        <v>75</v>
      </c>
      <c r="D15" s="4" t="inlineStr">
        <is>
          <t>RL</t>
        </is>
      </c>
      <c r="E15" s="4" t="inlineStr">
        <is>
          <t>III (observation; asymmetries)</t>
        </is>
      </c>
      <c r="F15" s="4" t="inlineStr">
        <is>
          <t>The agent sees only the local observation; the planners see the global snapshot.</t>
        </is>
      </c>
      <c r="G15" s="4" t="inlineStr">
        <is>
          <t>The observation includes the hop count to the nearest alive gateway and the direction to the nearest alive gateway; both need global knowledge. And the 'lower bound' is asserted, not measured: the asymmetries' effect is never quantified.</t>
        </is>
      </c>
      <c r="H15" s="4" t="inlineStr">
        <is>
          <t>Paper III (24-dim observation). Code confirms a global BFS: state.py:164-166, 190-222.</t>
        </is>
      </c>
      <c r="I15" s="4" t="inlineStr">
        <is>
          <t>The paper's own feature list contradicts 'local only'.</t>
        </is>
      </c>
      <c r="J15" s="4" t="inlineStr">
        <is>
          <t>The observation is mostly local, plus a gateway-distance hint; 'lower bound' should be softened.</t>
        </is>
      </c>
      <c r="K15" s="2" t="inlineStr">
        <is>
          <t>6.3</t>
        </is>
      </c>
    </row>
    <row r="16" ht="55.05" customHeight="1" s="9">
      <c r="A16" s="2" t="inlineStr">
        <is>
          <t>P-13</t>
        </is>
      </c>
      <c r="B16" s="5" t="inlineStr">
        <is>
          <t>Major</t>
        </is>
      </c>
      <c r="C16" s="2" t="n">
        <v>75</v>
      </c>
      <c r="D16" s="4" t="inlineStr">
        <is>
          <t>Framing</t>
        </is>
      </c>
      <c r="E16" s="4" t="inlineStr">
        <is>
          <t>V-D</t>
        </is>
      </c>
      <c r="F16" s="4" t="inlineStr">
        <is>
          <t>Severity bites on the longer links, which is how structural damage removes the mesh's long-range shortcuts.</t>
        </is>
      </c>
      <c r="G16" s="4" t="inlineStr">
        <is>
          <t>Fig. 2 puts PDR at 1,500 m at 0.109 under extreme, yet the neighbour range stays 1,500 m and every agent still succeeds ~100%, so the shortcuts are evidently still used. Nothing in the results shows them being removed.</t>
        </is>
      </c>
      <c r="H16" s="4" t="inlineStr">
        <is>
          <t>Paper V-B, V-D, III. Code: hops aren't gated by the channel.</t>
        </is>
      </c>
      <c r="I16" s="4" t="inlineStr">
        <is>
          <t>The claim is interpretive and unsupported by any result.</t>
        </is>
      </c>
      <c r="J16" s="4" t="inlineStr">
        <is>
          <t>Rephrase: severity degrades long links in the channel model; the routing task doesn't yet reflect that.</t>
        </is>
      </c>
      <c r="K16" s="2" t="inlineStr">
        <is>
          <t>12, 1.1</t>
        </is>
      </c>
    </row>
    <row r="17" ht="55.05" customHeight="1" s="9">
      <c r="A17" s="2" t="inlineStr">
        <is>
          <t>P-14</t>
        </is>
      </c>
      <c r="B17" s="5" t="inlineStr">
        <is>
          <t>Major</t>
        </is>
      </c>
      <c r="C17" s="2" t="n">
        <v>72</v>
      </c>
      <c r="D17" s="4" t="inlineStr">
        <is>
          <t>RL / statistics</t>
        </is>
      </c>
      <c r="E17" s="4" t="inlineStr">
        <is>
          <t>V-A; VI</t>
        </is>
      </c>
      <c r="F17" s="4" t="inlineStr">
        <is>
          <t>Final critic explained variance: -0.67, 0.18, 0.71.</t>
        </is>
      </c>
      <c r="G17" s="4" t="inlineStr">
        <is>
          <t>One critic plainly hasn't converged, yet the paper doesn't say which seed's policy produced Table II. Its p-values treat 100 episodes of one network as samples of 'PPO', so variance between training runs isn't reflected.</t>
        </is>
      </c>
      <c r="H17" s="4" t="inlineStr">
        <is>
          <t>Paper VI, V-A. Code: seed 0 (EV -0.67) is the evaluated model.</t>
        </is>
      </c>
      <c r="I17" s="4" t="inlineStr">
        <is>
          <t>Missing disclosure plus a standard RL-evaluation objection.</t>
        </is>
      </c>
      <c r="J17" s="4" t="inlineStr">
        <is>
          <t>One seed was evaluated; all seeds will be, with per-seed aggregation.</t>
        </is>
      </c>
      <c r="K17" s="2" t="inlineStr">
        <is>
          <t>6.5</t>
        </is>
      </c>
    </row>
    <row r="18" ht="67.8" customHeight="1" s="9">
      <c r="A18" s="2" t="inlineStr">
        <is>
          <t>P-15</t>
        </is>
      </c>
      <c r="B18" s="5" t="inlineStr">
        <is>
          <t>Major</t>
        </is>
      </c>
      <c r="C18" s="2" t="n">
        <v>72</v>
      </c>
      <c r="D18" s="4" t="inlineStr">
        <is>
          <t>Channel model</t>
        </is>
      </c>
      <c r="E18" s="4" t="inlineStr">
        <is>
          <t>III; V-D</t>
        </is>
      </c>
      <c r="F18" s="4" t="inlineStr">
        <is>
          <t>Intact preset: PDR = 0.5 at 45.5 km; heavy-collapse default n = 3.8 from d0 = 1 m.</t>
        </is>
      </c>
      <c r="G18" s="4" t="inlineStr">
        <is>
          <t>45 km for ground-level handhelds exceeds the radio horizon (~8-10 km for 1-2 m antennas) and ignores two-ray ground loss (~40 dB/decade beyond tens of metres). LoRaSim's measured urban model (127.41 dB at 40 m, gamma 2.08) gives 156.5 dB at 1 km; ABOT's 'heavy collapse' gives 145.2 dB, ~11 dB more benign than an intact city [ext].</t>
        </is>
      </c>
      <c r="H18" s="4" t="inlineStr">
        <is>
          <t>Paper V-D; arXiv 1704.04174 and 1902.04383 [ext, verify]</t>
        </is>
      </c>
      <c r="I18" s="4" t="inlineStr">
        <is>
          <t>Physics and published measurements contradict the presets' calibration.</t>
        </is>
      </c>
      <c r="J18" s="4" t="inlineStr">
        <is>
          <t>The presets are relative stress levels, explicitly not calibrated; field calibration is future work.</t>
        </is>
      </c>
      <c r="K18" s="2" t="inlineStr">
        <is>
          <t>3.4</t>
        </is>
      </c>
    </row>
    <row r="19" ht="42.3" customHeight="1" s="9">
      <c r="A19" s="2" t="inlineStr">
        <is>
          <t>P-16</t>
        </is>
      </c>
      <c r="B19" s="5" t="inlineStr">
        <is>
          <t>Major</t>
        </is>
      </c>
      <c r="C19" s="2" t="n">
        <v>70</v>
      </c>
      <c r="D19" s="4" t="inlineStr">
        <is>
          <t>Protocol</t>
        </is>
      </c>
      <c r="E19" s="4" t="inlineStr">
        <is>
          <t>III (packet format; gossip budget)</t>
        </is>
      </c>
      <c r="F19" s="4" t="inlineStr">
        <is>
          <t>A 34-byte header; the 42 B gossip payload fits within the 51 B MTU.</t>
        </is>
      </c>
      <c r="G19" s="4" t="inlineStr">
        <is>
          <t>34 + 42 = 76 B, which exceeds the 51 B MTU the paper cites. The header also carries a float RSSI field: a receiver-side measurement there's no reason to transmit.</t>
        </is>
      </c>
      <c r="H19" s="4" t="inlineStr">
        <is>
          <t>Paper III arithmetic. Code: the 34 B struct is simulator bookkeeping (packet.py:8-14).</t>
        </is>
      </c>
      <c r="I19" s="4" t="inlineStr">
        <is>
          <t>Internal arithmetic inconsistency.</t>
        </is>
      </c>
      <c r="J19" s="4" t="inlineStr">
        <is>
          <t>The 34 B struct is simulator bookkeeping; the on-air header is compact. We'll specify it.</t>
        </is>
      </c>
      <c r="K19" s="2" t="inlineStr">
        <is>
          <t>4.5</t>
        </is>
      </c>
    </row>
    <row r="20" ht="55.05" customHeight="1" s="9">
      <c r="A20" s="2" t="inlineStr">
        <is>
          <t>P-17</t>
        </is>
      </c>
      <c r="B20" s="5" t="inlineStr">
        <is>
          <t>Major</t>
        </is>
      </c>
      <c r="C20" s="2" t="n">
        <v>70</v>
      </c>
      <c r="D20" s="4" t="inlineStr">
        <is>
          <t>Backend</t>
        </is>
      </c>
      <c r="E20" s="4" t="inlineStr">
        <is>
          <t>IV</t>
        </is>
      </c>
      <c r="F20" s="4" t="inlineStr">
        <is>
          <t>Equivalence holds for liveness, which is what the agent trains against.</t>
        </is>
      </c>
      <c r="G20" s="4" t="inlineStr">
        <is>
          <t>Both backends run the same failure model, and failures don't depend on traffic, so matching alive counts is nearly guaranteed and validates nothing about networking. The agent's observation is built from PDR features, exactly what the KS tests show is not equivalent.</t>
        </is>
      </c>
      <c r="H20" s="4" t="inlineStr">
        <is>
          <t>Paper IV; III (observation)</t>
        </is>
      </c>
      <c r="I20" s="4" t="inlineStr">
        <is>
          <t>The paper's own observation list contradicts the justification.</t>
        </is>
      </c>
      <c r="J20" s="4" t="inlineStr">
        <is>
          <t>Equivalence is claimed for liveness only; PDR-based training results are backend-specific.</t>
        </is>
      </c>
      <c r="K20" s="2" t="inlineStr">
        <is>
          <t>9.4</t>
        </is>
      </c>
    </row>
    <row r="21" ht="55.05" customHeight="1" s="9">
      <c r="A21" s="2" t="inlineStr">
        <is>
          <t>P-18</t>
        </is>
      </c>
      <c r="B21" s="5" t="inlineStr">
        <is>
          <t>Major</t>
        </is>
      </c>
      <c r="C21" s="2" t="n">
        <v>70</v>
      </c>
      <c r="D21" s="4" t="inlineStr">
        <is>
          <t>Gossip</t>
        </is>
      </c>
      <c r="E21" s="4" t="inlineStr">
        <is>
          <t>IV-A</t>
        </is>
      </c>
      <c r="F21" s="4" t="inlineStr">
        <is>
          <t>Gossip ablation: no metric separates the arms.</t>
        </is>
      </c>
      <c r="G21" s="4" t="inlineStr">
        <is>
          <t>The merge isn't wired and nothing in the policy reads the values, so only transport is exercised and a null was guaranteed. Calling it an ablation of 'Q-value gossip' overstates it, and 'per-node V(s)' has no clear meaning when V depends on time and PDR.</t>
        </is>
      </c>
      <c r="H21" s="4" t="inlineStr">
        <is>
          <t>Paper IV-A. Code: no gossip is sent at evaluation.</t>
        </is>
      </c>
      <c r="I21" s="4" t="inlineStr">
        <is>
          <t>The paper half-concedes this already; the label still overclaims.</t>
        </is>
      </c>
      <c r="J21" s="4" t="inlineStr">
        <is>
          <t>It's a transport-cost check, not a test of gossip's value.</t>
        </is>
      </c>
      <c r="K21" s="2" t="inlineStr">
        <is>
          <t>10</t>
        </is>
      </c>
    </row>
    <row r="22" ht="42.3" customHeight="1" s="9">
      <c r="A22" s="2" t="inlineStr">
        <is>
          <t>P-19</t>
        </is>
      </c>
      <c r="B22" s="5" t="inlineStr">
        <is>
          <t>Major</t>
        </is>
      </c>
      <c r="C22" s="2" t="n">
        <v>70</v>
      </c>
      <c r="D22" s="4" t="inlineStr">
        <is>
          <t>Internal consistency</t>
        </is>
      </c>
      <c r="E22" s="4" t="inlineStr">
        <is>
          <t>V-C, para. 3</t>
        </is>
      </c>
      <c r="F22" s="4" t="inlineStr">
        <is>
          <t>Both dynamic planners compute their first route from an empty snapshot, so any separation comes from replanning alone.</t>
        </is>
      </c>
      <c r="G22" s="4" t="inlineStr">
        <is>
          <t>The same paragraph then restricts to the 43 of 100 seeds where the first routes coincide, conceding that in 57 seeds the routes differ for another reason (hash tie-breaking).</t>
        </is>
      </c>
      <c r="H22" s="4" t="inlineStr">
        <is>
          <t>Paper V-C, para. 3</t>
        </is>
      </c>
      <c r="I22" s="4" t="inlineStr">
        <is>
          <t>The paragraph contradicts itself.</t>
        </is>
      </c>
      <c r="J22" s="4" t="inlineStr">
        <is>
          <t>The full-sample ratio includes tie-breaking effects; the 43-seed subset isolates replanning.</t>
        </is>
      </c>
      <c r="K22" s="2" t="inlineStr">
        <is>
          <t>12</t>
        </is>
      </c>
    </row>
    <row r="23" ht="67.8" customHeight="1" s="9">
      <c r="A23" s="2" t="inlineStr">
        <is>
          <t>P-20</t>
        </is>
      </c>
      <c r="B23" s="5" t="inlineStr">
        <is>
          <t>Major</t>
        </is>
      </c>
      <c r="C23" s="2" t="n">
        <v>68</v>
      </c>
      <c r="D23" s="4" t="inlineStr">
        <is>
          <t>Regulation</t>
        </is>
      </c>
      <c r="E23" s="4" t="inlineStr">
        <is>
          <t>VI (duty cycle)</t>
        </is>
      </c>
      <c r="F23" s="4" t="inlineStr">
        <is>
          <t>30 s beacons give ~4.4% occupancy at SF12, above the 1% ETSI EN 300 220-2 limit for this band.</t>
        </is>
      </c>
      <c r="G23" s="4" t="inlineStr">
        <is>
          <t>4.4% = 1.32 s / 30 s, i.e. a ~20 B frame; with the paper's 34 B header the beacon alone is ~6.0-6.6%, before relays and gossip. ETSI EN 300 220-2 is European; for India's 865-867 MHz band, the LoRaWAN IN865 plan reportedly has no duty-cycle limit [ext, verify]. Per-device duty cycle and channel occupancy are conflated.</t>
        </is>
      </c>
      <c r="H23" s="4" t="inlineStr">
        <is>
          <t>Semtech time-on-air formula; redteam/per_table.py [derived]; [ext]</t>
        </is>
      </c>
      <c r="I23" s="4" t="inlineStr">
        <is>
          <t>Wrong arithmetic and the wrong jurisdiction in the same sentence.</t>
        </is>
      </c>
      <c r="J23" s="4" t="inlineStr">
        <is>
          <t>Indian rules may not impose 1%; the airtime problem is real either way and needs adaptive beaconing.</t>
        </is>
      </c>
      <c r="K23" s="2" t="inlineStr">
        <is>
          <t>4.7</t>
        </is>
      </c>
    </row>
    <row r="24" ht="55.05" customHeight="1" s="9">
      <c r="A24" s="2" t="inlineStr">
        <is>
          <t>P-21</t>
        </is>
      </c>
      <c r="B24" s="5" t="inlineStr">
        <is>
          <t>Major</t>
        </is>
      </c>
      <c r="C24" s="2" t="n">
        <v>68</v>
      </c>
      <c r="D24" s="4" t="inlineStr">
        <is>
          <t>MAC</t>
        </is>
      </c>
      <c r="E24" s="4" t="inlineStr">
        <is>
          <t>III (contention)</t>
        </is>
      </c>
      <c r="F24" s="4" t="inlineStr">
        <is>
          <t>Channel contention uses slotted ALOHA with capture [2].</t>
        </is>
      </c>
      <c r="G24" s="4" t="inlineStr">
        <is>
          <t>Slotted ALOHA needs network-wide slot synchronisation, and [2] takes it from the LoRaWAN gateway. ABOT is gateway-free and describes no time sync. Capture is also decided without a timing (preamble-lock) condition.</t>
        </is>
      </c>
      <c r="H24" s="4" t="inlineStr">
        <is>
          <t>Paper III; reference [2]</t>
        </is>
      </c>
      <c r="I24" s="4" t="inlineStr">
        <is>
          <t>The cited mechanism's precondition contradicts the architecture.</t>
        </is>
      </c>
      <c r="J24" s="4" t="inlineStr">
        <is>
          <t>It's a slotted approximation of contention for simulation, not a deployed MAC.</t>
        </is>
      </c>
      <c r="K24" s="2" t="inlineStr">
        <is>
          <t>4.3</t>
        </is>
      </c>
    </row>
    <row r="25" ht="42.3" customHeight="1" s="9">
      <c r="A25" s="2" t="inlineStr">
        <is>
          <t>P-22</t>
        </is>
      </c>
      <c r="B25" s="5" t="inlineStr">
        <is>
          <t>Major</t>
        </is>
      </c>
      <c r="C25" s="2" t="n">
        <v>65</v>
      </c>
      <c r="D25" s="4" t="inlineStr">
        <is>
          <t>Metric</t>
        </is>
      </c>
      <c r="E25" s="4" t="inlineStr">
        <is>
          <t>III; IV; V</t>
        </is>
      </c>
      <c r="F25" s="4" t="inlineStr">
        <is>
          <t>PDR (used throughout).</t>
        </is>
      </c>
      <c r="G25" s="4" t="inlineStr">
        <is>
          <t>'PDR' names at least three different quantities: Fig. 2's analytic link PDR, the 'mean link PDR' of V-B and V-C (never defined), and the network PDR in the KS test. None is SOS delivery.</t>
        </is>
      </c>
      <c r="H25" s="4" t="inlineStr">
        <is>
          <t>Paper IV, V-B, V-C, V-D</t>
        </is>
      </c>
      <c r="I25" s="4" t="inlineStr">
        <is>
          <t>Undefined key metric; easy to concede, hard to justify.</t>
        </is>
      </c>
      <c r="J25" s="4" t="inlineStr">
        <is>
          <t>Define each PDR explicitly; they measure different things.</t>
        </is>
      </c>
      <c r="K25" s="2" t="inlineStr">
        <is>
          <t>2.6</t>
        </is>
      </c>
    </row>
    <row r="26" ht="42.3" customHeight="1" s="9">
      <c r="A26" s="2" t="inlineStr">
        <is>
          <t>P-23</t>
        </is>
      </c>
      <c r="B26" s="5" t="inlineStr">
        <is>
          <t>Major</t>
        </is>
      </c>
      <c r="C26" s="2" t="n">
        <v>65</v>
      </c>
      <c r="D26" s="4" t="inlineStr">
        <is>
          <t>RL</t>
        </is>
      </c>
      <c r="E26" s="4" t="inlineStr">
        <is>
          <t>V-B</t>
        </is>
      </c>
      <c r="F26" s="4" t="inlineStr">
        <is>
          <t>One seed block livelocks (~16.9 / 22.9 reward); success is 0.996 at every preset.</t>
        </is>
      </c>
      <c r="G26" s="4" t="inlineStr">
        <is>
          <t>0.996 of 250 episodes = 1 failure, at the same seed at every preset: one scenario replayed five times, not a pattern. The mechanism is stated as fact without step-level evidence.</t>
        </is>
      </c>
      <c r="H26" s="4" t="inlineStr">
        <is>
          <t>Paper V-B arithmetic. Code: per-episode data isn't recoverable.</t>
        </is>
      </c>
      <c r="I26" s="4" t="inlineStr">
        <is>
          <t>Arithmetic from the paper alone shows n = 1.</t>
        </is>
      </c>
      <c r="J26" s="4" t="inlineStr">
        <is>
          <t>It's one failure case, reported for transparency, not a trend.</t>
        </is>
      </c>
      <c r="K26" s="2" t="inlineStr">
        <is>
          <t>6.8</t>
        </is>
      </c>
    </row>
    <row r="27" ht="42.3" customHeight="1" s="9">
      <c r="A27" s="2" t="inlineStr">
        <is>
          <t>P-24</t>
        </is>
      </c>
      <c r="B27" s="5" t="inlineStr">
        <is>
          <t>Major</t>
        </is>
      </c>
      <c r="C27" s="2" t="n">
        <v>65</v>
      </c>
      <c r="D27" s="4" t="inlineStr">
        <is>
          <t>Novelty</t>
        </is>
      </c>
      <c r="E27" s="4" t="inlineStr">
        <is>
          <t>II (gap 1)</t>
        </is>
      </c>
      <c r="F27" s="4" t="inlineStr">
        <is>
          <t>LoRa simulators expose no agent interface at RL episode rates [11].</t>
        </is>
      </c>
      <c r="G27" s="4" t="inlineStr">
        <is>
          <t>ns3-gym provides a Gym interface to ns-3, which has a LoRaWAN module; FLoRa, LoRaSim and Meshtastic's Meshtasticator exist; and [11] itself builds a DRL environment for LoRa [ext].</t>
        </is>
      </c>
      <c r="H27" s="4" t="inlineStr">
        <is>
          <t>[ext]; reference [11]</t>
        </is>
      </c>
      <c r="I27" s="4" t="inlineStr">
        <is>
          <t>Existing tools contradict the gap, including the cited source.</t>
        </is>
      </c>
      <c r="J27" s="4" t="inlineStr">
        <is>
          <t>Those target LoRaWAN or single-hop; the contribution is a mesh-specific, fast environment.</t>
        </is>
      </c>
      <c r="K27" s="2" t="inlineStr">
        <is>
          <t>11.2</t>
        </is>
      </c>
    </row>
    <row r="28" ht="42.3" customHeight="1" s="9">
      <c r="A28" s="2" t="inlineStr">
        <is>
          <t>P-25</t>
        </is>
      </c>
      <c r="B28" s="5" t="inlineStr">
        <is>
          <t>Major</t>
        </is>
      </c>
      <c r="C28" s="2" t="n">
        <v>62</v>
      </c>
      <c r="D28" s="4" t="inlineStr">
        <is>
          <t>Novelty</t>
        </is>
      </c>
      <c r="E28" s="4" t="inlineStr">
        <is>
          <t>II</t>
        </is>
      </c>
      <c r="F28" s="4" t="inlineStr">
        <is>
          <t>ABOT is positioned to close the post-disaster communication gap.</t>
        </is>
      </c>
      <c r="G28" s="4" t="inlineStr">
        <is>
          <t>[5] already built a gateway-free, self-healing LoRa mesh on ESP32 with hardware results. ABOT is simulation-only, and its delta over [5] and [6] is never stated.</t>
        </is>
      </c>
      <c r="H28" s="4" t="inlineStr">
        <is>
          <t>Paper II; references [5], [6]</t>
        </is>
      </c>
      <c r="I28" s="4" t="inlineStr">
        <is>
          <t>The closest prior work has stronger evidence.</t>
        </is>
      </c>
      <c r="J28" s="4" t="inlineStr">
        <is>
          <t>The delta is live-state routing plus the damage benchmark; hardware validation follows.</t>
        </is>
      </c>
      <c r="K28" s="2" t="inlineStr">
        <is>
          <t>11.3</t>
        </is>
      </c>
    </row>
    <row r="29" ht="55.05" customHeight="1" s="9">
      <c r="A29" s="2" t="inlineStr">
        <is>
          <t>P-26</t>
        </is>
      </c>
      <c r="B29" s="5" t="inlineStr">
        <is>
          <t>Major</t>
        </is>
      </c>
      <c r="C29" s="2" t="n">
        <v>60</v>
      </c>
      <c r="D29" s="4" t="inlineStr">
        <is>
          <t>Statistics</t>
        </is>
      </c>
      <c r="E29" s="4" t="inlineStr">
        <is>
          <t>V-A (Table II)</t>
        </is>
      </c>
      <c r="F29" s="4" t="inlineStr">
        <is>
          <t>PPO worse at 10x10 (p_corr 0.047); no difference at 15x15.</t>
        </is>
      </c>
      <c r="G29" s="4" t="inlineStr">
        <is>
          <t>Three baselines share identical r_rb and p at 10x10: the same test counted three times in the Holm family. 'PPO worse' rests on p = 0.047. At 15x15 the effect points the same way (r_rb ~ +0.137), yet the text says 'indistinguishable'.</t>
        </is>
      </c>
      <c r="H29" s="4" t="inlineStr">
        <is>
          <t>Paper Table II</t>
        </is>
      </c>
      <c r="I29" s="4" t="inlineStr">
        <is>
          <t>Borderline significance and the wording of the null are both attackable.</t>
        </is>
      </c>
      <c r="J29" s="4" t="inlineStr">
        <is>
          <t>The three planners produce identical paths; 'no significant difference' is the accurate phrase at 15x15.</t>
        </is>
      </c>
      <c r="K29" s="2" t="inlineStr">
        <is>
          <t>8</t>
        </is>
      </c>
    </row>
    <row r="30" ht="55.05" customHeight="1" s="9">
      <c r="A30" s="2" t="inlineStr">
        <is>
          <t>P-27</t>
        </is>
      </c>
      <c r="B30" s="5" t="inlineStr">
        <is>
          <t>Major</t>
        </is>
      </c>
      <c r="C30" s="2" t="n">
        <v>60</v>
      </c>
      <c r="D30" s="4" t="inlineStr">
        <is>
          <t>Channel model</t>
        </is>
      </c>
      <c r="E30" s="4" t="inlineStr">
        <is>
          <t>III (path loss)</t>
        </is>
      </c>
      <c r="F30" s="4" t="inlineStr">
        <is>
          <t>n_PL based on IEEE 802.15.4a CM6 measurements and post-earthquake LoRa field data [10].</t>
        </is>
      </c>
      <c r="G30" s="4" t="inlineStr">
        <is>
          <t>[10] is the 802.15.4a final report, a UWB model measured mostly over tens of metres; the post-earthquake LoRa data has no citation. Applying it at 865 MHz over kilometres needs justification [ext, verify the parameter tables].</t>
        </is>
      </c>
      <c r="H30" s="4" t="inlineStr">
        <is>
          <t>Paper III; reference [10]</t>
        </is>
      </c>
      <c r="I30" s="4" t="inlineStr">
        <is>
          <t>Citation doesn't support the parameter choice.</t>
        </is>
      </c>
      <c r="J30" s="4" t="inlineStr">
        <is>
          <t>Cite the post-earthquake LoRa measurements directly (Ferreira et al. 2020, per the code comments).</t>
        </is>
      </c>
      <c r="K30" s="2" t="inlineStr">
        <is>
          <t>3.5</t>
        </is>
      </c>
    </row>
    <row r="31" ht="55.05" customHeight="1" s="9">
      <c r="A31" s="2" t="inlineStr">
        <is>
          <t>P-28</t>
        </is>
      </c>
      <c r="B31" s="5" t="inlineStr">
        <is>
          <t>Major</t>
        </is>
      </c>
      <c r="C31" s="2" t="n">
        <v>60</v>
      </c>
      <c r="D31" s="4" t="inlineStr">
        <is>
          <t>RL</t>
        </is>
      </c>
      <c r="E31" s="4" t="inlineStr">
        <is>
          <t>III (action space)</t>
        </is>
      </c>
      <c r="F31" s="4" t="inlineStr">
        <is>
          <t>Discrete(8) indexes the identifier-sorted neighbour list.</t>
        </is>
      </c>
      <c r="G31" s="4" t="inlineStr">
        <is>
          <t>ID order has no geometric meaning to the policy: which eight neighbours are addressable depends on numbering, not on link quality or direction, and dead neighbours stay addressable (the livelock). A masked or geometry-based action set is standard.</t>
        </is>
      </c>
      <c r="H31" s="4" t="inlineStr">
        <is>
          <t>Paper III, V-B</t>
        </is>
      </c>
      <c r="I31" s="4" t="inlineStr">
        <is>
          <t>A design choice that's hard to motivate.</t>
        </is>
      </c>
      <c r="J31" s="4" t="inlineStr">
        <is>
          <t>A fixed-width discrete space was a simplification; masking is the fix.</t>
        </is>
      </c>
      <c r="K31" s="2" t="inlineStr">
        <is>
          <t>6.2, 6.9</t>
        </is>
      </c>
    </row>
    <row r="32" ht="30" customHeight="1" s="9">
      <c r="A32" s="2" t="inlineStr">
        <is>
          <t>P-29</t>
        </is>
      </c>
      <c r="B32" s="5" t="inlineStr">
        <is>
          <t>Major</t>
        </is>
      </c>
      <c r="C32" s="2" t="n">
        <v>58</v>
      </c>
      <c r="D32" s="4" t="inlineStr">
        <is>
          <t>Statistics</t>
        </is>
      </c>
      <c r="E32" s="4" t="inlineStr">
        <is>
          <t>V-C</t>
        </is>
      </c>
      <c r="F32" s="4" t="inlineStr">
        <is>
          <t>The 43-seed subset: 1.50x, p = 0.0057, r_rb = -0.346, 'the cleanest number'.</t>
        </is>
      </c>
      <c r="G32" s="4" t="inlineStr">
        <is>
          <t>A post hoc subset with an uncorrected p-value, chosen after seeing the data.</t>
        </is>
      </c>
      <c r="H32" s="4" t="inlineStr">
        <is>
          <t>Paper V-C</t>
        </is>
      </c>
      <c r="I32" s="4" t="inlineStr">
        <is>
          <t>Standard objection to post hoc subgroups.</t>
        </is>
      </c>
      <c r="J32" s="4" t="inlineStr">
        <is>
          <t>Exploratory isolation of the replanning effect; it should be labelled as such.</t>
        </is>
      </c>
      <c r="K32" s="2" t="inlineStr">
        <is>
          <t>8</t>
        </is>
      </c>
    </row>
    <row r="33" ht="42.3" customHeight="1" s="9">
      <c r="A33" s="2" t="inlineStr">
        <is>
          <t>P-30</t>
        </is>
      </c>
      <c r="B33" s="5" t="inlineStr">
        <is>
          <t>Major</t>
        </is>
      </c>
      <c r="C33" s="2" t="n">
        <v>55</v>
      </c>
      <c r="D33" s="4" t="inlineStr">
        <is>
          <t>Framing</t>
        </is>
      </c>
      <c r="E33" s="4" t="inlineStr">
        <is>
          <t>I; III</t>
        </is>
      </c>
      <c r="F33" s="4" t="inlineStr">
        <is>
          <t>A learned policy may better account for non-stationary, spatially correlated failure patterns.</t>
        </is>
      </c>
      <c r="G33" s="4" t="inlineStr">
        <is>
          <t>Burst (spatially correlated) failures are implemented but never evaluated: every experiment uses the mixed mode.</t>
        </is>
      </c>
      <c r="H33" s="4" t="inlineStr">
        <is>
          <t>Paper III (failure model), V</t>
        </is>
      </c>
      <c r="I33" s="4" t="inlineStr">
        <is>
          <t>Motivation not tested, but stated as motivation, not result.</t>
        </is>
      </c>
      <c r="J33" s="4" t="inlineStr">
        <is>
          <t>Burst failures are implemented; their evaluation is future work.</t>
        </is>
      </c>
      <c r="K33" s="2" t="inlineStr">
        <is>
          <t>1.4, 12</t>
        </is>
      </c>
    </row>
    <row r="34" ht="42.3" customHeight="1" s="9">
      <c r="A34" s="2" t="inlineStr">
        <is>
          <t>P-31</t>
        </is>
      </c>
      <c r="B34" s="5" t="inlineStr">
        <is>
          <t>Major</t>
        </is>
      </c>
      <c r="C34" s="2" t="n">
        <v>55</v>
      </c>
      <c r="D34" s="4" t="inlineStr">
        <is>
          <t>RL</t>
        </is>
      </c>
      <c r="E34" s="4" t="inlineStr">
        <is>
          <t>III (reward)</t>
        </is>
      </c>
      <c r="F34" s="4" t="inlineStr">
        <is>
          <t>+5 per new SOS delivered.</t>
        </is>
      </c>
      <c r="G34" s="4" t="inlineStr">
        <is>
          <t>The agent's actions don't deliver SOS messages (the simulator injects and propagates that traffic), so the term rewards something the agent doesn't control.</t>
        </is>
      </c>
      <c r="H34" s="4" t="inlineStr">
        <is>
          <t>Paper III (RL environment). Code: it fires in 100/100 episodes.</t>
        </is>
      </c>
      <c r="I34" s="4" t="inlineStr">
        <is>
          <t>Reward-design flaw visible from the description.</t>
        </is>
      </c>
      <c r="J34" s="4" t="inlineStr">
        <is>
          <t>It's an ambient network-health signal; it will be removed or tied to the agent's node.</t>
        </is>
      </c>
      <c r="K34" s="2" t="inlineStr">
        <is>
          <t>6.10, 1.2</t>
        </is>
      </c>
    </row>
    <row r="35" ht="42.3" customHeight="1" s="9">
      <c r="A35" s="2" t="inlineStr">
        <is>
          <t>P-32</t>
        </is>
      </c>
      <c r="B35" s="5" t="inlineStr">
        <is>
          <t>Major</t>
        </is>
      </c>
      <c r="C35" s="2" t="n">
        <v>55</v>
      </c>
      <c r="D35" s="4" t="inlineStr">
        <is>
          <t>Backend</t>
        </is>
      </c>
      <c r="E35" s="4" t="inlineStr">
        <is>
          <t>IV</t>
        </is>
      </c>
      <c r="F35" s="4" t="inlineStr">
        <is>
          <t>Up to 7.3x / 303x; sweeping lambda_fail moves neither figure.</t>
        </is>
      </c>
      <c r="G35" s="4" t="inlineStr">
        <is>
          <t>'Up to' gives no grid size; 303x is in a mode no result uses; and the lambda_fail sweep is trivially null because failures barely occur in 20-40 s episodes.</t>
        </is>
      </c>
      <c r="H35" s="4" t="inlineStr">
        <is>
          <t>Paper IV; the time-scale arithmetic above. Artifact: 4.7x at 10x10.</t>
        </is>
      </c>
      <c r="I35" s="4" t="inlineStr">
        <is>
          <t>Vague but not false.</t>
        </is>
      </c>
      <c r="J35" s="4" t="inlineStr">
        <is>
          <t>Give the 10x10 figure (4.7x) alongside the maximum.</t>
        </is>
      </c>
      <c r="K35" s="2" t="inlineStr">
        <is>
          <t>9.1</t>
        </is>
      </c>
    </row>
    <row r="36" ht="42.3" customHeight="1" s="9">
      <c r="A36" s="2" t="inlineStr">
        <is>
          <t>P-33</t>
        </is>
      </c>
      <c r="B36" s="5" t="inlineStr">
        <is>
          <t>Major</t>
        </is>
      </c>
      <c r="C36" s="2" t="n">
        <v>55</v>
      </c>
      <c r="D36" s="4" t="inlineStr">
        <is>
          <t>Link-state monitoring</t>
        </is>
      </c>
      <c r="E36" s="4" t="inlineStr">
        <is>
          <t>III</t>
        </is>
      </c>
      <c r="F36" s="4" t="inlineStr">
        <is>
          <t>PDR from arrival statistics over a 50-packet window; a beacon's payload is the sender's identifier alone.</t>
        </is>
      </c>
      <c r="G36" s="4" t="inlineStr">
        <is>
          <t>Without sequence numbers a receiver can't count missed beacons, except by assuming a fixed schedule, and jitter breaks that.</t>
        </is>
      </c>
      <c r="H36" s="4" t="inlineStr">
        <is>
          <t>Paper III</t>
        </is>
      </c>
      <c r="I36" s="4" t="inlineStr">
        <is>
          <t>A partial defence exists (expected count from the known interval).</t>
        </is>
      </c>
      <c r="J36" s="4" t="inlineStr">
        <is>
          <t>Receivers infer expected beacons from the 30 s interval; sequence numbers would make it robust.</t>
        </is>
      </c>
      <c r="K36" s="2" t="inlineStr">
        <is>
          <t>5</t>
        </is>
      </c>
    </row>
    <row r="37" ht="42.3" customHeight="1" s="9">
      <c r="A37" s="2" t="inlineStr">
        <is>
          <t>P-34</t>
        </is>
      </c>
      <c r="B37" s="5" t="inlineStr">
        <is>
          <t>Major</t>
        </is>
      </c>
      <c r="C37" s="2" t="n">
        <v>50</v>
      </c>
      <c r="D37" s="4" t="inlineStr">
        <is>
          <t>Statistics</t>
        </is>
      </c>
      <c r="E37" s="4" t="inlineStr">
        <is>
          <t>V</t>
        </is>
      </c>
      <c r="F37" s="4" t="inlineStr">
        <is>
          <t>Mann-Whitney U, Holm-corrected.</t>
        </is>
      </c>
      <c r="G37" s="4" t="inlineStr">
        <is>
          <t>Agents run the same matched seeds (same start, same failures), so the data are paired. A Wilcoxon signed-rank or sign test fits; Mann-Whitney ignores the pairing.</t>
        </is>
      </c>
      <c r="H37" s="4" t="inlineStr">
        <is>
          <t>Paper V</t>
        </is>
      </c>
      <c r="I37" s="4" t="inlineStr">
        <is>
          <t>Probably conservative, so the conclusions likely hold.</t>
        </is>
      </c>
      <c r="J37" s="4" t="inlineStr">
        <is>
          <t>Mann-Whitney is conservative here; paired tests will be added.</t>
        </is>
      </c>
      <c r="K37" s="2" t="inlineStr">
        <is>
          <t>8</t>
        </is>
      </c>
    </row>
    <row r="38" ht="30" customHeight="1" s="9">
      <c r="A38" s="2" t="inlineStr">
        <is>
          <t>P-35</t>
        </is>
      </c>
      <c r="B38" s="5" t="inlineStr">
        <is>
          <t>Major</t>
        </is>
      </c>
      <c r="C38" s="2" t="n">
        <v>50</v>
      </c>
      <c r="D38" s="4" t="inlineStr">
        <is>
          <t>Channel model</t>
        </is>
      </c>
      <c r="E38" s="4" t="inlineStr">
        <is>
          <t>III</t>
        </is>
      </c>
      <c r="F38" s="4" t="inlineStr">
        <is>
          <t>The mesh reconfigures as nodes fail or move out of range.</t>
        </is>
      </c>
      <c r="G38" s="4" t="inlineStr">
        <is>
          <t>No mobility, fading or temporal channel variation is described or evaluated; the neighbour set is fixed by a 1,500 m range at every severity.</t>
        </is>
      </c>
      <c r="H38" s="4" t="inlineStr">
        <is>
          <t>Paper III, V</t>
        </is>
      </c>
      <c r="I38" s="4" t="inlineStr">
        <is>
          <t>A stated simplification, not a contradiction, except for 'move out of range'.</t>
        </is>
      </c>
      <c r="J38" s="4" t="inlineStr">
        <is>
          <t>Static nodes were assumed; mobility is future work.</t>
        </is>
      </c>
      <c r="K38" s="2" t="inlineStr">
        <is>
          <t>3.6</t>
        </is>
      </c>
    </row>
    <row r="39" ht="67.8" customHeight="1" s="9">
      <c r="A39" s="2" t="inlineStr">
        <is>
          <t>P-36</t>
        </is>
      </c>
      <c r="B39" s="6" t="inlineStr">
        <is>
          <t>Minor</t>
        </is>
      </c>
      <c r="C39" s="2" t="n">
        <v>95</v>
      </c>
      <c r="D39" s="4" t="inlineStr">
        <is>
          <t>Writing</t>
        </is>
      </c>
      <c r="E39" s="4" t="inlineStr">
        <is>
          <t>Throughout</t>
        </is>
      </c>
      <c r="F39" s="4" t="inlineStr">
        <is>
          <t>(Typos and formatting.)</t>
        </is>
      </c>
      <c r="G39" s="4" t="inlineStr">
        <is>
          <t>Keywords ', ,'; 'dept. Of'; 'amplified the damage to more damaging effects'; 'regime. with'; '(p = 0.886). which'; '(p = 0.0057,r_ rb'; 'n_ PL'; 'Haas et al. [9] shows'; 'uses Stable-Baselines3 PPO as default hyperparameters'; '42 Byte'; Table II caption split across two paragraphs; VI duty-cycle and action-space items run together.</t>
        </is>
      </c>
      <c r="H39" s="4" t="inlineStr">
        <is>
          <t>Paper text</t>
        </is>
      </c>
      <c r="I39" s="4" t="inlineStr">
        <is>
          <t>Can't be justified, but harmless: concede and fix.</t>
        </is>
      </c>
      <c r="J39" s="4" t="inlineStr">
        <is>
          <t>Thank them and fix in any later version.</t>
        </is>
      </c>
      <c r="K39" s="2" t="inlineStr">
        <is>
          <t>13</t>
        </is>
      </c>
    </row>
    <row r="40" ht="42.3" customHeight="1" s="9">
      <c r="A40" s="2" t="inlineStr">
        <is>
          <t>P-37</t>
        </is>
      </c>
      <c r="B40" s="6" t="inlineStr">
        <is>
          <t>Minor</t>
        </is>
      </c>
      <c r="C40" s="2" t="n">
        <v>85</v>
      </c>
      <c r="D40" s="4" t="inlineStr">
        <is>
          <t>Citations</t>
        </is>
      </c>
      <c r="E40" s="4" t="inlineStr">
        <is>
          <t>II</t>
        </is>
      </c>
      <c r="F40" s="4" t="inlineStr">
        <is>
          <t>'Al-Hadhrami et al. [8]'; [11] cited for IoT situational awareness and the simulator gap.</t>
        </is>
      </c>
      <c r="G40" s="4" t="inlineStr">
        <is>
          <t>[8] is Olajide (PARA, PLoS ONE 2018). [11] is a DRL LoRa transmission-policy paper, not an IoT situational-awareness or simulator source.</t>
        </is>
      </c>
      <c r="H40" s="4" t="inlineStr">
        <is>
          <t>Paper II; reference list</t>
        </is>
      </c>
      <c r="I40" s="4" t="inlineStr">
        <is>
          <t>Factual citation errors; only concession works.</t>
        </is>
      </c>
      <c r="J40" s="4" t="inlineStr">
        <is>
          <t>Citation errors; corrected list available.</t>
        </is>
      </c>
      <c r="K40" s="2" t="inlineStr">
        <is>
          <t>13</t>
        </is>
      </c>
    </row>
    <row r="41" ht="42.3" customHeight="1" s="9">
      <c r="A41" s="2" t="inlineStr">
        <is>
          <t>P-38</t>
        </is>
      </c>
      <c r="B41" s="6" t="inlineStr">
        <is>
          <t>Minor</t>
        </is>
      </c>
      <c r="C41" s="2" t="n">
        <v>85</v>
      </c>
      <c r="D41" s="4" t="inlineStr">
        <is>
          <t>Internal consistency</t>
        </is>
      </c>
      <c r="E41" s="4" t="inlineStr">
        <is>
          <t>V-C, para. 1</t>
        </is>
      </c>
      <c r="F41" s="4" t="inlineStr">
        <is>
          <t>Steps-to-safe-zone are identical on all 100.</t>
        </is>
      </c>
      <c r="G41" s="4" t="inlineStr">
        <is>
          <t>Reads as static = dynamic steps, contradicted two sentences later (3.23 vs 2.17). It actually refers to the static planners' backend re-run fidelity check.</t>
        </is>
      </c>
      <c r="H41" s="4" t="inlineStr">
        <is>
          <t>Paper V-C</t>
        </is>
      </c>
      <c r="I41" s="4" t="inlineStr">
        <is>
          <t>Indefensible as written; easy to explain.</t>
        </is>
      </c>
      <c r="J41" s="4" t="inlineStr">
        <is>
          <t>It refers to the static planners giving identical steps on both backends.</t>
        </is>
      </c>
      <c r="K41" s="2" t="inlineStr">
        <is>
          <t>12</t>
        </is>
      </c>
    </row>
    <row r="42" ht="30" customHeight="1" s="9">
      <c r="A42" s="2" t="inlineStr">
        <is>
          <t>P-39</t>
        </is>
      </c>
      <c r="B42" s="6" t="inlineStr">
        <is>
          <t>Minor</t>
        </is>
      </c>
      <c r="C42" s="2" t="n">
        <v>80</v>
      </c>
      <c r="D42" s="4" t="inlineStr">
        <is>
          <t>Internal consistency</t>
        </is>
      </c>
      <c r="E42" s="4" t="inlineStr">
        <is>
          <t>III; Fig. 1</t>
        </is>
      </c>
      <c r="F42" s="4" t="inlineStr">
        <is>
          <t>'Three functional layers'.</t>
        </is>
      </c>
      <c r="G42" s="4" t="inlineStr">
        <is>
          <t>The Fig. 1 caption says 'Four Layer'.</t>
        </is>
      </c>
      <c r="H42" s="4" t="inlineStr">
        <is>
          <t>Paper III vs Fig. 1 caption</t>
        </is>
      </c>
      <c r="I42" s="4" t="inlineStr">
        <is>
          <t>Plain contradiction; trivial.</t>
        </is>
      </c>
      <c r="J42" s="4" t="inlineStr">
        <is>
          <t>Fig. 1 v2 splits MAC/forwarding into its own layer; the text wasn't updated.</t>
        </is>
      </c>
      <c r="K42" s="2" t="inlineStr">
        <is>
          <t>12</t>
        </is>
      </c>
    </row>
    <row r="43" ht="30" customHeight="1" s="9">
      <c r="A43" s="2" t="inlineStr">
        <is>
          <t>P-40</t>
        </is>
      </c>
      <c r="B43" s="6" t="inlineStr">
        <is>
          <t>Minor</t>
        </is>
      </c>
      <c r="C43" s="2" t="n">
        <v>75</v>
      </c>
      <c r="D43" s="4" t="inlineStr">
        <is>
          <t>Internal consistency</t>
        </is>
      </c>
      <c r="E43" s="4" t="inlineStr">
        <is>
          <t>V-C, para. 1</t>
        </is>
      </c>
      <c r="F43" s="4" t="inlineStr">
        <is>
          <t>'0.267 to 0.145 ... over 250 episodes per preset per arm'.</t>
        </is>
      </c>
      <c r="G43" s="4" t="inlineStr">
        <is>
          <t>0.267 / 0.145 come from the 100-episode main run; 250 per preset is the severity sweep.</t>
        </is>
      </c>
      <c r="H43" s="4" t="inlineStr">
        <is>
          <t>Paper V-C</t>
        </is>
      </c>
      <c r="I43" s="4" t="inlineStr">
        <is>
          <t>Mixed-up sample sizes; concede.</t>
        </is>
      </c>
      <c r="J43" s="4" t="inlineStr">
        <is>
          <t>Two analyses were merged in one sentence; the main-run n is 100.</t>
        </is>
      </c>
      <c r="K43" s="2" t="inlineStr">
        <is>
          <t>12</t>
        </is>
      </c>
    </row>
    <row r="44" ht="30" customHeight="1" s="9">
      <c r="A44" s="2" t="inlineStr">
        <is>
          <t>P-41</t>
        </is>
      </c>
      <c r="B44" s="6" t="inlineStr">
        <is>
          <t>Minor</t>
        </is>
      </c>
      <c r="C44" s="2" t="n">
        <v>60</v>
      </c>
      <c r="D44" s="4" t="inlineStr">
        <is>
          <t>Framing</t>
        </is>
      </c>
      <c r="E44" s="4" t="inlineStr">
        <is>
          <t>III (physical layer)</t>
        </is>
      </c>
      <c r="F44" s="4" t="inlineStr">
        <is>
          <t>Multi-kilometre range over rubble-strewn terrain without repeaters.</t>
        </is>
      </c>
      <c r="G44" s="4" t="inlineStr">
        <is>
          <t>Fig. 2's own PDR = 0.5 range is 2.0 km at heavy (the default), 1.03 km at severe and 637 m at extreme.</t>
        </is>
      </c>
      <c r="H44" s="4" t="inlineStr">
        <is>
          <t>Paper III vs V-D</t>
        </is>
      </c>
      <c r="I44" s="4" t="inlineStr">
        <is>
          <t>True only at the milder presets.</t>
        </is>
      </c>
      <c r="J44" s="4" t="inlineStr">
        <is>
          <t>Multi-kilometre holds up to heavy damage in the model; under severe damage, relays are needed.</t>
        </is>
      </c>
      <c r="K44" s="2" t="inlineStr">
        <is>
          <t>12</t>
        </is>
      </c>
    </row>
    <row r="45" ht="30" customHeight="1" s="9">
      <c r="A45" s="2" t="inlineStr">
        <is>
          <t>P-42</t>
        </is>
      </c>
      <c r="B45" s="6" t="inlineStr">
        <is>
          <t>Minor</t>
        </is>
      </c>
      <c r="C45" s="2" t="n">
        <v>55</v>
      </c>
      <c r="D45" s="4" t="inlineStr">
        <is>
          <t>Framing</t>
        </is>
      </c>
      <c r="E45" s="4" t="inlineStr">
        <is>
          <t>I</t>
        </is>
      </c>
      <c r="F45" s="4" t="inlineStr">
        <is>
          <t>The PPO agent is 'intended to replace the Dijkstra solver'.</t>
        </is>
      </c>
      <c r="G45" s="4" t="inlineStr">
        <is>
          <t>Nothing in the results supports replacing it; PPO trails the fast planners at 10x10.</t>
        </is>
      </c>
      <c r="H45" s="4" t="inlineStr">
        <is>
          <t>Paper I vs V-A</t>
        </is>
      </c>
      <c r="I45" s="4" t="inlineStr">
        <is>
          <t>Aspiration stated as intent; the results don't support it.</t>
        </is>
      </c>
      <c r="J45" s="4" t="inlineStr">
        <is>
          <t>That's the long-term aim; the results show it isn't there yet.</t>
        </is>
      </c>
      <c r="K45" s="2" t="inlineStr">
        <is>
          <t>6.10</t>
        </is>
      </c>
    </row>
    <row r="46" ht="30" customHeight="1" s="9">
      <c r="A46" s="2" t="inlineStr">
        <is>
          <t>P-43</t>
        </is>
      </c>
      <c r="B46" s="6" t="inlineStr">
        <is>
          <t>Minor</t>
        </is>
      </c>
      <c r="C46" s="2" t="n">
        <v>50</v>
      </c>
      <c r="D46" s="4" t="inlineStr">
        <is>
          <t>Protocol</t>
        </is>
      </c>
      <c r="E46" s="4" t="inlineStr">
        <is>
          <t>III (gossip budget)</t>
        </is>
      </c>
      <c r="F46" s="4" t="inlineStr">
        <is>
          <t>51 B MTU (SF12 DR0 limit).</t>
        </is>
      </c>
      <c r="G46" s="4" t="inlineStr">
        <is>
          <t>DR0 is a LoRaWAN regional-parameter constraint; raw LoRa allows 255 B. That's odd for a design described as 'unlike conventional LoRaWAN'.</t>
        </is>
      </c>
      <c r="H46" s="4" t="inlineStr">
        <is>
          <t>Paper III</t>
        </is>
      </c>
      <c r="I46" s="4" t="inlineStr">
        <is>
          <t>A conservative choice, but borrowed from a protocol the paper rejects.</t>
        </is>
      </c>
      <c r="J46" s="4" t="inlineStr">
        <is>
          <t>A conservative budget that keeps frames compatible with LoRaWAN-class radios.</t>
        </is>
      </c>
      <c r="K46" s="2" t="inlineStr">
        <is>
          <t>4.6</t>
        </is>
      </c>
    </row>
    <row r="47" ht="42.3" customHeight="1" s="9">
      <c r="A47" s="2" t="inlineStr">
        <is>
          <t>P-44</t>
        </is>
      </c>
      <c r="B47" s="6" t="inlineStr">
        <is>
          <t>Minor</t>
        </is>
      </c>
      <c r="C47" s="2" t="n">
        <v>45</v>
      </c>
      <c r="D47" s="4" t="inlineStr">
        <is>
          <t>Protocol</t>
        </is>
      </c>
      <c r="E47" s="4" t="inlineStr">
        <is>
          <t>III (forwarding)</t>
        </is>
      </c>
      <c r="F47" s="4" t="inlineStr">
        <is>
          <t>p = 0.75 saves roughly 25% of a full flood's transmissions.</t>
        </is>
      </c>
      <c r="G47" s="4" t="inlineStr">
        <is>
          <t>The 25% restates p = 0.75 rather than measuring anything; p and K were never ablated; and Haas et al.'s thresholds come from far sparser graphs than degree ~30.</t>
        </is>
      </c>
      <c r="H47" s="4" t="inlineStr">
        <is>
          <t>Paper III</t>
        </is>
      </c>
      <c r="I47" s="4" t="inlineStr">
        <is>
          <t>The rationale is reasonable; the saving claim is tautological.</t>
        </is>
      </c>
      <c r="J47" s="4" t="inlineStr">
        <is>
          <t>p was set from Haas et al. with margin; a sweep over p and K is future work.</t>
        </is>
      </c>
      <c r="K47" s="2" t="inlineStr">
        <is>
          <t>4.4</t>
        </is>
      </c>
    </row>
    <row r="48" ht="42.3" customHeight="1" s="9">
      <c r="A48" s="2" t="inlineStr">
        <is>
          <t>P-45</t>
        </is>
      </c>
      <c r="B48" s="6" t="inlineStr">
        <is>
          <t>Minor</t>
        </is>
      </c>
      <c r="C48" s="2" t="n">
        <v>45</v>
      </c>
      <c r="D48" s="4" t="inlineStr">
        <is>
          <t>RL</t>
        </is>
      </c>
      <c r="E48" s="4" t="inlineStr">
        <is>
          <t>V-B; VI</t>
        </is>
      </c>
      <c r="F48" s="4" t="inlineStr">
        <is>
          <t>The livelock is caused by action-space truncation.</t>
        </is>
      </c>
      <c r="G48" s="4" t="inlineStr">
        <is>
          <t>It's an environment design choice: dead neighbours stay addressable and an invalid action leaves the state unchanged. Action masking fixes it; truncation isn't the cause.</t>
        </is>
      </c>
      <c r="H48" s="4" t="inlineStr">
        <is>
          <t>Paper V-B, VI</t>
        </is>
      </c>
      <c r="I48" s="4" t="inlineStr">
        <is>
          <t>Mostly a matter of attribution.</t>
        </is>
      </c>
      <c r="J48" s="4" t="inlineStr">
        <is>
          <t>Fair; masking invalid actions is the fix.</t>
        </is>
      </c>
      <c r="K48" s="2" t="inlineStr">
        <is>
          <t>6.9</t>
        </is>
      </c>
    </row>
    <row r="49" ht="30" customHeight="1" s="9">
      <c r="A49" s="2" t="inlineStr">
        <is>
          <t>P-46</t>
        </is>
      </c>
      <c r="B49" s="6" t="inlineStr">
        <is>
          <t>Minor</t>
        </is>
      </c>
      <c r="C49" s="2" t="n">
        <v>45</v>
      </c>
      <c r="D49" s="4" t="inlineStr">
        <is>
          <t>Statistics</t>
        </is>
      </c>
      <c r="E49" s="4" t="inlineStr">
        <is>
          <t>V-C</t>
        </is>
      </c>
      <c r="F49" s="4" t="inlineStr">
        <is>
          <t>~1.8-1.9x separation.</t>
        </is>
      </c>
      <c r="G49" s="4" t="inlineStr">
        <is>
          <t>The ratios have no confidence intervals; the dynamic arm alone spans 0.264-0.294 across hash seeds.</t>
        </is>
      </c>
      <c r="H49" s="4" t="inlineStr">
        <is>
          <t>Paper V-C</t>
        </is>
      </c>
      <c r="I49" s="4" t="inlineStr">
        <is>
          <t>Spread disclosed; CIs missing.</t>
        </is>
      </c>
      <c r="J49" s="4" t="inlineStr">
        <is>
          <t>Bootstrap CIs will be reported.</t>
        </is>
      </c>
      <c r="K49" s="2" t="inlineStr">
        <is>
          <t>8</t>
        </is>
      </c>
    </row>
    <row r="50" ht="30" customHeight="1" s="9">
      <c r="A50" s="2" t="inlineStr">
        <is>
          <t>P-47</t>
        </is>
      </c>
      <c r="B50" s="6" t="inlineStr">
        <is>
          <t>Minor</t>
        </is>
      </c>
      <c r="C50" s="2" t="n">
        <v>40</v>
      </c>
      <c r="D50" s="4" t="inlineStr">
        <is>
          <t>Novelty</t>
        </is>
      </c>
      <c r="E50" s="4" t="inlineStr">
        <is>
          <t>II</t>
        </is>
      </c>
      <c r="F50" s="4" t="inlineStr">
        <is>
          <t>(Related work.)</t>
        </is>
      </c>
      <c r="G50" s="4" t="inlineStr">
        <is>
          <t>No RL-routing literature: Q-routing (1994) onward, and DRL routing in WSNs, FANETs and LoRa [ext].</t>
        </is>
      </c>
      <c r="H50" s="4" t="inlineStr">
        <is>
          <t>[ext]</t>
        </is>
      </c>
      <c r="I50" s="4" t="inlineStr">
        <is>
          <t>An omission, easily added.</t>
        </is>
      </c>
      <c r="J50" s="4" t="inlineStr">
        <is>
          <t>Space-limited; it will be added.</t>
        </is>
      </c>
      <c r="K50" s="2" t="inlineStr">
        <is>
          <t>11.4</t>
        </is>
      </c>
    </row>
    <row r="51" ht="30" customHeight="1" s="9">
      <c r="A51" s="2" t="inlineStr">
        <is>
          <t>P-48</t>
        </is>
      </c>
      <c r="B51" s="6" t="inlineStr">
        <is>
          <t>Minor</t>
        </is>
      </c>
      <c r="C51" s="2" t="n">
        <v>40</v>
      </c>
      <c r="D51" s="4" t="inlineStr">
        <is>
          <t>MAC</t>
        </is>
      </c>
      <c r="E51" s="4" t="inlineStr">
        <is>
          <t>III</t>
        </is>
      </c>
      <c r="F51" s="4" t="inlineStr">
        <is>
          <t>(MAC description.)</t>
        </is>
      </c>
      <c r="G51" s="4" t="inlineStr">
        <is>
          <t>Half-duplex operation and listen-before-talk (LoRa CAD, as Meshtastic uses) aren't mentioned.</t>
        </is>
      </c>
      <c r="H51" s="4" t="inlineStr">
        <is>
          <t>Paper III</t>
        </is>
      </c>
      <c r="I51" s="4" t="inlineStr">
        <is>
          <t>An omission.</t>
        </is>
      </c>
      <c r="J51" s="4" t="inlineStr">
        <is>
          <t>Not modelled yet; CAD-based LBT is planned.</t>
        </is>
      </c>
      <c r="K51" s="2" t="inlineStr">
        <is>
          <t>4.4</t>
        </is>
      </c>
    </row>
    <row r="52" ht="30" customHeight="1" s="9">
      <c r="A52" s="2" t="inlineStr">
        <is>
          <t>P-49</t>
        </is>
      </c>
      <c r="B52" s="6" t="inlineStr">
        <is>
          <t>Minor</t>
        </is>
      </c>
      <c r="C52" s="2" t="n">
        <v>35</v>
      </c>
      <c r="D52" s="4" t="inlineStr">
        <is>
          <t>Presentation</t>
        </is>
      </c>
      <c r="E52" s="4" t="inlineStr">
        <is>
          <t>V</t>
        </is>
      </c>
      <c r="F52" s="4" t="inlineStr">
        <is>
          <t>(Figures.)</t>
        </is>
      </c>
      <c r="G52" s="4" t="inlineStr">
        <is>
          <t>Only two figures, and neither shows the main results; Table II carries them alone.</t>
        </is>
      </c>
      <c r="H52" s="4" t="inlineStr">
        <is>
          <t>Paper</t>
        </is>
      </c>
      <c r="I52" s="4" t="inlineStr">
        <is>
          <t>Page-limit trade-off.</t>
        </is>
      </c>
      <c r="J52" s="4" t="inlineStr">
        <is>
          <t>Page limit; the slides show the results graphically.</t>
        </is>
      </c>
      <c r="K52" s="2" t="inlineStr">
        <is>
          <t>13</t>
        </is>
      </c>
    </row>
    <row r="53" ht="30" customHeight="1" s="9">
      <c r="A53" s="2" t="inlineStr">
        <is>
          <t>P-50</t>
        </is>
      </c>
      <c r="B53" s="6" t="inlineStr">
        <is>
          <t>Minor</t>
        </is>
      </c>
      <c r="C53" s="2" t="n">
        <v>30</v>
      </c>
      <c r="D53" s="4" t="inlineStr">
        <is>
          <t>Framing</t>
        </is>
      </c>
      <c r="E53" s="4" t="inlineStr">
        <is>
          <t>I</t>
        </is>
      </c>
      <c r="F53" s="4" t="inlineStr">
        <is>
          <t>'It proposes ABOT, a device with a LoRa radio module'.</t>
        </is>
      </c>
      <c r="G53" s="4" t="inlineStr">
        <is>
          <t>Elsewhere it's a 'framework' (abstract) and a 'protocol' (III); no device was built.</t>
        </is>
      </c>
      <c r="H53" s="4" t="inlineStr">
        <is>
          <t>Paper I vs abstract and III</t>
        </is>
      </c>
      <c r="I53" s="4" t="inlineStr">
        <is>
          <t>Wording inconsistency.</t>
        </is>
      </c>
      <c r="J53" s="4" t="inlineStr">
        <is>
          <t>ABOT is a protocol and framework intended to run on existing LoRa devices.</t>
        </is>
      </c>
      <c r="K53" s="2" t="inlineStr">
        <is>
          <t>12</t>
        </is>
      </c>
    </row>
    <row r="54" ht="30" customHeight="1" s="9">
      <c r="A54" s="2" t="inlineStr">
        <is>
          <t>P-51</t>
        </is>
      </c>
      <c r="B54" s="6" t="inlineStr">
        <is>
          <t>Minor</t>
        </is>
      </c>
      <c r="C54" s="2" t="n">
        <v>30</v>
      </c>
      <c r="D54" s="4" t="inlineStr">
        <is>
          <t>Framing</t>
        </is>
      </c>
      <c r="E54" s="4" t="inlineStr">
        <is>
          <t>Abstract; V</t>
        </is>
      </c>
      <c r="F54" s="4" t="inlineStr">
        <is>
          <t>Operates without centralized gateways.</t>
        </is>
      </c>
      <c r="G54" s="4" t="inlineStr">
        <is>
          <t>Every episode routes to one of two fixed sinks, and the observation uses the 'nearest alive gateway'. The evaluation is sink-centric.</t>
        </is>
      </c>
      <c r="H54" s="4" t="inlineStr">
        <is>
          <t>Paper abstract; III; V</t>
        </is>
      </c>
      <c r="I54" s="4" t="inlineStr">
        <is>
          <t>Defensible: the sinks are rescue nodes, not infrastructure gateways.</t>
        </is>
      </c>
      <c r="J54" s="4" t="inlineStr">
        <is>
          <t>The sinks are rescue nodes, not LoRaWAN gateways; any node can act as one.</t>
        </is>
      </c>
      <c r="K54" s="2" t="inlineStr">
        <is>
          <t>11.6</t>
        </is>
      </c>
    </row>
    <row r="55" ht="30" customHeight="1" s="9">
      <c r="A55" s="2" t="inlineStr">
        <is>
          <t>P-52</t>
        </is>
      </c>
      <c r="B55" s="6" t="inlineStr">
        <is>
          <t>Minor</t>
        </is>
      </c>
      <c r="C55" s="2" t="n">
        <v>25</v>
      </c>
      <c r="D55" s="4" t="inlineStr">
        <is>
          <t>Statistics</t>
        </is>
      </c>
      <c r="E55" s="4" t="inlineStr">
        <is>
          <t>V</t>
        </is>
      </c>
      <c r="F55" s="4" t="inlineStr">
        <is>
          <t>Reward is almost a monotone function of path length (Pearson r -0.987 to -0.993).</t>
        </is>
      </c>
      <c r="G55" s="4" t="inlineStr">
        <is>
          <t>That's an identity of the reward design (reward ~ 100 - steps + small terms), not a finding.</t>
        </is>
      </c>
      <c r="H55" s="4" t="inlineStr">
        <is>
          <t>Paper V; III (reward)</t>
        </is>
      </c>
      <c r="I55" s="4" t="inlineStr">
        <is>
          <t>Harmless; it's only used to justify the primary metric.</t>
        </is>
      </c>
      <c r="J55" s="4" t="inlineStr">
        <is>
          <t>Agreed; it just justifies using steps as the primary metric.</t>
        </is>
      </c>
      <c r="K55" s="2" t="inlineStr">
        <is>
          <t>8</t>
        </is>
      </c>
    </row>
  </sheetData>
  <autoFilter ref="A3:K55"/>
  <mergeCells count="2">
    <mergeCell ref="A2:K2"/>
    <mergeCell ref="A1:K1"/>
  </mergeCells>
  <conditionalFormatting sqref="C4:C55">
    <cfRule type="colorScale" priority="1">
      <colorScale>
        <cfvo type="num" val="1"/>
        <cfvo type="num" val="50"/>
        <cfvo type="num" val="100"/>
        <color rgb="FF63BE7B"/>
        <color rgb="FFFFEB84"/>
        <color rgb="FFF8696B"/>
      </colorScale>
    </cfRule>
  </conditionalFormatting>
  <dataValidations count="2">
    <dataValidation sqref="B4:B55" showDropDown="0" showInputMessage="0" showErrorMessage="0" allowBlank="0" type="list">
      <formula1>"Critical,Major,Minor"</formula1>
    </dataValidation>
    <dataValidation sqref="C4:C55" showDropDown="0" showInputMessage="0" showErrorMessage="1" allowBlank="0" error="Rating must be a whole number from 1 to 100." type="whole">
      <formula1>1</formula1>
      <formula2>100</formula2>
    </dataValidation>
  </dataValidations>
  <pageMargins left="0.75" right="0.75" top="1" bottom="1" header="0.5" footer="0.5"/>
</worksheet>
</file>

<file path=xl/worksheets/sheet3.xml><?xml version="1.0" encoding="utf-8"?>
<worksheet xmlns="http://schemas.openxmlformats.org/spreadsheetml/2006/main">
  <sheetPr>
    <tabColor rgb="008A2E6A"/>
    <outlinePr summaryBelow="1" summaryRight="1"/>
    <pageSetUpPr/>
  </sheetPr>
  <dimension ref="A1:I120"/>
  <sheetViews>
    <sheetView tabSelected="1" zoomScale="100" workbookViewId="0">
      <selection activeCell="A1" sqref="A1"/>
    </sheetView>
  </sheetViews>
  <sheetFormatPr baseColWidth="8" defaultRowHeight="15"/>
  <cols>
    <col width="7" customWidth="1" style="9" min="1" max="1"/>
    <col width="30" customWidth="1" style="9" min="2" max="2"/>
    <col width="10" customWidth="1" style="9" min="3" max="3"/>
    <col width="9" customWidth="1" style="9" min="4" max="4"/>
    <col width="24" customWidth="1" style="9" min="5" max="5"/>
    <col width="11" customWidth="1" style="9" min="6" max="6"/>
    <col width="13" customWidth="1" style="9" min="7" max="7"/>
    <col width="60" customWidth="1" style="9" min="8" max="8"/>
    <col width="40" customWidth="1" style="9" min="9" max="9"/>
  </cols>
  <sheetData>
    <row r="1" ht="22.5" customHeight="1" s="9">
      <c r="A1" s="11" t="inlineStr">
        <is>
          <t>ABOT Q&amp;A prep plan: your chosen points, reviewed</t>
        </is>
      </c>
      <c r="B1" s="10" t="n"/>
      <c r="C1" s="10" t="n"/>
      <c r="D1" s="10" t="n"/>
      <c r="E1" s="10" t="n"/>
      <c r="F1" s="10" t="n"/>
      <c r="G1" s="10" t="n"/>
      <c r="H1" s="10" t="n"/>
      <c r="I1" s="10" t="n"/>
    </row>
    <row r="2" ht="51.5" customHeight="1" s="9">
      <c r="A2" s="8" t="inlineStr">
        <is>
          <t>Your list of points to prepare for Q&amp;A, reviewed and regrouped into 9 sets (A to I). Change: Keep = fine as it is; Move = belongs in a different set; Add = not on your list, worth adding; Fix duplicate = listed twice. Prep level: By heart = learn the answer word for word; One line = know one sentence; Glance = read once (it only matters if that detail is on a slide). Built from ABOT-qa-prep-plan.md, which also builds page 2 of the ABOT-red-team-explained webpage: edit the markdown and rebuild (tools/explained-page/build_plan.py --xlsx), because edits made only here won't reach the webpage. Date: 2026-10-14.</t>
        </is>
      </c>
      <c r="B2" s="8" t="n"/>
      <c r="C2" s="8" t="n"/>
      <c r="D2" s="8" t="n"/>
      <c r="E2" s="8" t="n"/>
      <c r="F2" s="8" t="n"/>
      <c r="G2" s="8" t="n"/>
      <c r="H2" s="8" t="n"/>
      <c r="I2" s="8" t="n"/>
    </row>
    <row r="3" ht="10" customHeight="1" s="9"/>
    <row r="4" ht="19.8" customHeight="1" s="9">
      <c r="A4" s="12" t="inlineStr">
        <is>
          <t>In short</t>
        </is>
      </c>
      <c r="B4" s="10" t="n"/>
      <c r="C4" s="10" t="n"/>
      <c r="D4" s="10" t="n"/>
      <c r="E4" s="10" t="n"/>
      <c r="F4" s="10" t="n"/>
      <c r="G4" s="10" t="n"/>
      <c r="H4" s="10" t="n"/>
      <c r="I4" s="10" t="n"/>
    </row>
    <row r="5" ht="17.2" customHeight="1" s="9">
      <c r="B5" s="13" t="inlineStr">
        <is>
          <r>
            <rPr>
              <rFont val="Arial"/>
              <b val="1"/>
              <sz val="10"/>
            </rPr>
            <t>You picked the right points.</t>
          </r>
          <r>
            <rPr>
              <rFont val="Arial"/>
              <sz val="10"/>
            </rPr>
            <t xml:space="preserve"> All 10 points the triage marked "have an answer ready" are on your list.</t>
          </r>
        </is>
      </c>
      <c r="C5" s="13" t="n"/>
      <c r="D5" s="13" t="n"/>
      <c r="E5" s="13" t="n"/>
      <c r="F5" s="13" t="n"/>
      <c r="G5" s="13" t="n"/>
      <c r="H5" s="13" t="n"/>
      <c r="I5" s="13" t="n"/>
    </row>
    <row r="6" ht="17.2" customHeight="1" s="9">
      <c r="B6" s="13" t="inlineStr">
        <is>
          <r>
            <rPr>
              <rFont val="Arial"/>
              <b val="1"/>
              <sz val="10"/>
            </rPr>
            <t>The sets need work.</t>
          </r>
          <r>
            <rPr>
              <rFont val="Arial"/>
              <sz val="10"/>
            </rPr>
            <t xml:space="preserve"> Some sets share only their ending ("…that's future work"), not their first sentence. Some points that need one answer are spread over different sets. P-01 is listed twice.</t>
          </r>
        </is>
      </c>
      <c r="C6" s="13" t="n"/>
      <c r="D6" s="13" t="n"/>
      <c r="E6" s="13" t="n"/>
      <c r="F6" s="13" t="n"/>
      <c r="G6" s="13" t="n"/>
      <c r="H6" s="13" t="n"/>
      <c r="I6" s="13" t="n"/>
    </row>
    <row r="7" ht="17.2" customHeight="1" s="9">
      <c r="B7" s="13" t="inlineStr">
        <is>
          <r>
            <rPr>
              <rFont val="Arial"/>
              <b val="1"/>
              <sz val="10"/>
            </rPr>
            <t>A few likely points are missing.</t>
          </r>
          <r>
            <rPr>
              <rFont val="Arial"/>
              <sz val="10"/>
            </rPr>
            <t xml:space="preserve"> The biggest gaps are the abstract (P-08) and the simulator (P-32, P-17, P-24). P-38, P-14 and P-42 are also worth adding.</t>
          </r>
        </is>
      </c>
      <c r="C7" s="13" t="n"/>
      <c r="D7" s="13" t="n"/>
      <c r="E7" s="13" t="n"/>
      <c r="F7" s="13" t="n"/>
      <c r="G7" s="13" t="n"/>
      <c r="H7" s="13" t="n"/>
      <c r="I7" s="13" t="n"/>
    </row>
    <row r="8" ht="17.2" customHeight="1" s="9">
      <c r="B8" s="13" t="inlineStr">
        <is>
          <r>
            <rPr>
              <rFont val="Arial"/>
              <b val="1"/>
              <sz val="10"/>
            </rPr>
            <t>Some points get too much time.</t>
          </r>
          <r>
            <rPr>
              <rFont val="Arial"/>
              <sz val="10"/>
            </rPr>
            <t xml:space="preserve"> P-16, P-43, P-21, P-31 and P-52 only come up if that detail is on a slide.</t>
          </r>
        </is>
      </c>
      <c r="C8" s="13" t="n"/>
      <c r="D8" s="13" t="n"/>
      <c r="E8" s="13" t="n"/>
      <c r="F8" s="13" t="n"/>
      <c r="G8" s="13" t="n"/>
      <c r="H8" s="13" t="n"/>
      <c r="I8" s="13" t="n"/>
    </row>
    <row r="9" ht="17.2" customHeight="1" s="9">
      <c r="B9" s="13" t="inlineStr">
        <is>
          <r>
            <rPr>
              <rFont val="Arial"/>
              <b val="1"/>
              <sz val="10"/>
            </rPr>
            <t>The fix: 9 sets instead of 17.</t>
          </r>
          <r>
            <rPr>
              <rFont val="Arial"/>
              <sz val="10"/>
            </rPr>
            <t xml:space="preserve"> Learn the 9 opening lines by heart, then one follow-up line for each point.</t>
          </r>
        </is>
      </c>
      <c r="C9" s="13" t="n"/>
      <c r="D9" s="13" t="n"/>
      <c r="E9" s="13" t="n"/>
      <c r="F9" s="13" t="n"/>
      <c r="G9" s="13" t="n"/>
      <c r="H9" s="13" t="n"/>
      <c r="I9" s="13" t="n"/>
    </row>
    <row r="10" ht="10" customHeight="1" s="9"/>
    <row r="11" ht="19.8" customHeight="1" s="9">
      <c r="A11" s="12" t="inlineStr">
        <is>
          <t>Counts (they update if you edit the Change or Prep level column below)</t>
        </is>
      </c>
      <c r="B11" s="10" t="n"/>
      <c r="C11" s="10" t="n"/>
      <c r="D11" s="10" t="n"/>
      <c r="E11" s="10" t="n"/>
      <c r="F11" s="10" t="n"/>
      <c r="G11" s="10" t="n"/>
      <c r="H11" s="10" t="n"/>
      <c r="I11" s="10" t="n"/>
    </row>
    <row r="12" ht="17.2" customHeight="1" s="9">
      <c r="B12" s="14" t="inlineStr">
        <is>
          <t>What</t>
        </is>
      </c>
      <c r="C12" s="14" t="inlineStr">
        <is>
          <t>Count</t>
        </is>
      </c>
    </row>
    <row r="13" ht="30.4" customHeight="1" s="9">
      <c r="B13" s="4" t="inlineStr">
        <is>
          <t>Points reviewed</t>
        </is>
      </c>
      <c r="C13" s="4">
        <f>COUNTA(A49:A84)</f>
        <v>36</v>
      </c>
    </row>
    <row r="14" ht="70" customHeight="1" s="9">
      <c r="B14" s="4" t="inlineStr">
        <is>
          <t>On your list</t>
        </is>
      </c>
      <c r="C14" s="4">
        <f>COUNTIF(E49:E84,"&lt;&gt;Not on your list")</f>
        <v>28</v>
      </c>
    </row>
    <row r="15" ht="43.6" customHeight="1" s="9">
      <c r="B15" s="4" t="inlineStr">
        <is>
          <t>To add (Change = Add)</t>
        </is>
      </c>
      <c r="C15" s="4">
        <f>COUNTIF(G49:G84,"Add")</f>
        <v>8</v>
      </c>
    </row>
    <row r="16" ht="43.6" customHeight="1" s="9">
      <c r="B16" s="4" t="inlineStr">
        <is>
          <t>Keep</t>
        </is>
      </c>
      <c r="C16" s="4">
        <f>COUNTIF(G49:G84,"Keep")</f>
        <v>6</v>
      </c>
    </row>
    <row r="17" ht="43.6" customHeight="1" s="9">
      <c r="B17" s="4" t="inlineStr">
        <is>
          <t>Move</t>
        </is>
      </c>
      <c r="C17" s="4">
        <f>COUNTIF(G49:G84,"Move")</f>
        <v>21</v>
      </c>
    </row>
    <row r="18" ht="70" customHeight="1" s="9">
      <c r="B18" s="4" t="inlineStr">
        <is>
          <t>Fix duplicate</t>
        </is>
      </c>
      <c r="C18" s="4">
        <f>COUNTIF(G49:G84,"Fix duplicate")</f>
        <v>1</v>
      </c>
    </row>
    <row r="19" ht="56.8" customHeight="1" s="9">
      <c r="B19" s="4" t="inlineStr">
        <is>
          <t>By heart</t>
        </is>
      </c>
      <c r="C19" s="4">
        <f>COUNTIF(I49:I84,"By heart")</f>
        <v>12</v>
      </c>
    </row>
    <row r="20" ht="56.8" customHeight="1" s="9">
      <c r="B20" s="4" t="inlineStr">
        <is>
          <t>One line</t>
        </is>
      </c>
      <c r="C20" s="4">
        <f>COUNTIF(I49:I84,"One line")</f>
        <v>17</v>
      </c>
    </row>
    <row r="21" ht="56.8" customHeight="1" s="9">
      <c r="B21" s="4" t="inlineStr">
        <is>
          <t>Glance</t>
        </is>
      </c>
      <c r="C21" s="4">
        <f>COUNTIF(I49:I84,"Glance")</f>
        <v>7</v>
      </c>
    </row>
    <row r="22" ht="10" customHeight="1" s="9"/>
    <row r="23" ht="19.8" customHeight="1" s="9">
      <c r="A23" s="12" t="inlineStr">
        <is>
          <t>Your list</t>
        </is>
      </c>
      <c r="B23" s="10" t="n"/>
      <c r="C23" s="10" t="n"/>
      <c r="D23" s="10" t="n"/>
      <c r="E23" s="10" t="n"/>
      <c r="F23" s="10" t="n"/>
      <c r="G23" s="10" t="n"/>
      <c r="H23" s="10" t="n"/>
      <c r="I23" s="10" t="n"/>
    </row>
    <row r="24" ht="17.2" customHeight="1" s="9">
      <c r="B24" s="13" t="inlineStr">
        <is>
          <t>You picked 28 points and grouped them into 17 sets. Points in braces share one explanation; the rest stand alone.</t>
        </is>
      </c>
      <c r="C24" s="13" t="n"/>
      <c r="D24" s="13" t="n"/>
      <c r="E24" s="13" t="n"/>
      <c r="F24" s="13" t="n"/>
      <c r="G24" s="13" t="n"/>
      <c r="H24" s="13" t="n"/>
      <c r="I24" s="13" t="n"/>
    </row>
    <row r="25" ht="17.2" customHeight="1" s="9">
      <c r="B25" s="13" t="inlineStr">
        <is>
          <t>• On their own: P-01, P-03, P-04, P-06, P-12, P-15, P-16, P-20, P-22, P-31, P-43, P-52.</t>
        </is>
      </c>
      <c r="C25" s="13" t="n"/>
      <c r="D25" s="13" t="n"/>
      <c r="E25" s="13" t="n"/>
      <c r="F25" s="13" t="n"/>
      <c r="G25" s="13" t="n"/>
      <c r="H25" s="13" t="n"/>
      <c r="I25" s="13" t="n"/>
    </row>
    <row r="26" ht="17.2" customHeight="1" s="9">
      <c r="B26" s="13" t="inlineStr">
        <is>
          <t>• {P-02, P-41}</t>
        </is>
      </c>
      <c r="C26" s="13" t="n"/>
      <c r="D26" s="13" t="n"/>
      <c r="E26" s="13" t="n"/>
      <c r="F26" s="13" t="n"/>
      <c r="G26" s="13" t="n"/>
      <c r="H26" s="13" t="n"/>
      <c r="I26" s="13" t="n"/>
    </row>
    <row r="27" ht="17.2" customHeight="1" s="9">
      <c r="B27" s="13" t="inlineStr">
        <is>
          <t>• {P-07, P-13}</t>
        </is>
      </c>
      <c r="C27" s="13" t="n"/>
      <c r="D27" s="13" t="n"/>
      <c r="E27" s="13" t="n"/>
      <c r="F27" s="13" t="n"/>
      <c r="G27" s="13" t="n"/>
      <c r="H27" s="13" t="n"/>
      <c r="I27" s="13" t="n"/>
    </row>
    <row r="28" ht="17.2" customHeight="1" s="9">
      <c r="B28" s="13" t="inlineStr">
        <is>
          <t>• {P-10, P-11}</t>
        </is>
      </c>
      <c r="C28" s="13" t="n"/>
      <c r="D28" s="13" t="n"/>
      <c r="E28" s="13" t="n"/>
      <c r="F28" s="13" t="n"/>
      <c r="G28" s="13" t="n"/>
      <c r="H28" s="13" t="n"/>
      <c r="I28" s="13" t="n"/>
    </row>
    <row r="29" ht="17.2" customHeight="1" s="9">
      <c r="B29" s="13" t="inlineStr">
        <is>
          <t>• {P-28, P-45, P-21, P-23}</t>
        </is>
      </c>
      <c r="C29" s="13" t="n"/>
      <c r="D29" s="13" t="n"/>
      <c r="E29" s="13" t="n"/>
      <c r="F29" s="13" t="n"/>
      <c r="G29" s="13" t="n"/>
      <c r="H29" s="13" t="n"/>
      <c r="I29" s="13" t="n"/>
    </row>
    <row r="30" ht="17.2" customHeight="1" s="9">
      <c r="B30" s="13" t="inlineStr">
        <is>
          <t>• The "big set": {P-05, P-18, P-35, P-30, P-40, P-01, P-25}. P-01 is also on its own.</t>
        </is>
      </c>
      <c r="C30" s="13" t="n"/>
      <c r="D30" s="13" t="n"/>
      <c r="E30" s="13" t="n"/>
      <c r="F30" s="13" t="n"/>
      <c r="G30" s="13" t="n"/>
      <c r="H30" s="13" t="n"/>
      <c r="I30" s="13" t="n"/>
    </row>
    <row r="31" ht="10" customHeight="1" s="9"/>
    <row r="32" ht="19.8" customHeight="1" s="9">
      <c r="A32" s="12" t="inlineStr">
        <is>
          <t>How the sets were judged</t>
        </is>
      </c>
      <c r="B32" s="10" t="n"/>
      <c r="C32" s="10" t="n"/>
      <c r="D32" s="10" t="n"/>
      <c r="E32" s="10" t="n"/>
      <c r="F32" s="10" t="n"/>
      <c r="G32" s="10" t="n"/>
      <c r="H32" s="10" t="n"/>
      <c r="I32" s="10" t="n"/>
    </row>
    <row r="33" ht="30.4" customHeight="1" s="9">
      <c r="B33" s="13" t="inlineStr">
        <is>
          <t>Points belong in one set when their answers start with the same sentence. That first sentence is what you say when the question comes. Points that only share the last sentence, such as "…that's future work", are not one set.</t>
        </is>
      </c>
      <c r="C33" s="13" t="n"/>
      <c r="D33" s="13" t="n"/>
      <c r="E33" s="13" t="n"/>
      <c r="F33" s="13" t="n"/>
      <c r="G33" s="13" t="n"/>
      <c r="H33" s="13" t="n"/>
      <c r="I33" s="13" t="n"/>
    </row>
    <row r="34" ht="10" customHeight="1" s="9"/>
    <row r="35" ht="19.8" customHeight="1" s="9">
      <c r="A35" s="12" t="inlineStr">
        <is>
          <t>The 9 suggested sets</t>
        </is>
      </c>
      <c r="B35" s="10" t="n"/>
      <c r="C35" s="10" t="n"/>
      <c r="D35" s="10" t="n"/>
      <c r="E35" s="10" t="n"/>
      <c r="F35" s="10" t="n"/>
      <c r="G35" s="10" t="n"/>
      <c r="H35" s="10" t="n"/>
      <c r="I35" s="10" t="n"/>
    </row>
    <row r="36" ht="17.2" customHeight="1" s="9">
      <c r="A36" s="14" t="inlineStr">
        <is>
          <t>Set</t>
        </is>
      </c>
      <c r="B36" s="14" t="inlineStr">
        <is>
          <t>Name</t>
        </is>
      </c>
      <c r="C36" s="14" t="inlineStr">
        <is>
          <t>Points</t>
        </is>
      </c>
      <c r="D36" s="1" t="n"/>
      <c r="E36" s="1" t="n"/>
      <c r="F36" s="14" t="inlineStr">
        <is>
          <t>How well to know it</t>
        </is>
      </c>
      <c r="G36" s="1" t="n"/>
      <c r="H36" s="14" t="inlineStr">
        <is>
          <t>Opening line to learn</t>
        </is>
      </c>
      <c r="I36" s="14" t="inlineStr">
        <is>
          <t>Note</t>
        </is>
      </c>
    </row>
    <row r="37" ht="96.40000000000001" customHeight="1" s="9">
      <c r="A37" s="15" t="inlineStr">
        <is>
          <t>A</t>
        </is>
      </c>
      <c r="B37" s="15" t="inlineStr">
        <is>
          <t>What the main number is</t>
        </is>
      </c>
      <c r="C37" s="4" t="inlineStr">
        <is>
          <t>P-01, P-04, P-07, P-22, P-08 (new), P-31 (backup)</t>
        </is>
      </c>
      <c r="D37" s="4" t="n"/>
      <c r="E37" s="4" t="n"/>
      <c r="F37" s="4" t="inlineStr">
        <is>
          <t>By heart</t>
        </is>
      </c>
      <c r="G37" s="4" t="n"/>
      <c r="H37" s="15" t="inlineStr">
        <is>
          <t>"That number is a link-quality score for the nodes along the route, not the share of messages delivered. This paper doesn't measure SOS delivery to a rescuer."</t>
        </is>
      </c>
      <c r="I37" s="4" t="inlineStr">
        <is>
          <t>Two ways in: "How many SOS messages reach a rescuer?" and "Isn't the planner chasing its own score?" Both end in the same place. If the "+5 per SOS delivered" reward comes up (P-31), it leads here too: in this version the agent's route doesn't carry the SOS message.</t>
        </is>
      </c>
    </row>
    <row r="38" ht="70" customHeight="1" s="9">
      <c r="A38" s="15" t="inlineStr">
        <is>
          <t>B</t>
        </is>
      </c>
      <c r="B38" s="15" t="inlineStr">
        <is>
          <t>The task is easy</t>
        </is>
      </c>
      <c r="C38" s="4" t="inlineStr">
        <is>
          <t>P-05, P-13, P-02, P-30, P-35, P-52</t>
        </is>
      </c>
      <c r="D38" s="4" t="n"/>
      <c r="E38" s="4" t="n"/>
      <c r="F38" s="4" t="inlineStr">
        <is>
          <t>By heart</t>
        </is>
      </c>
      <c r="G38" s="4" t="n"/>
      <c r="H38" s="15" t="inlineStr">
        <is>
          <t>"Yes, it's easy. Each node has about 30 neighbours, so most routes are 2–3 hops and every method almost always reaches a safe zone. That's why we compare route length."</t>
        </is>
      </c>
      <c r="I38" s="4" t="inlineStr">
        <is>
          <t>Don't call the damage sweep "just a baseline": Section II of the paper claims it as a contribution. Say a harder version is needed (sparser meshes, and hops that can fail on weak links).</t>
        </is>
      </c>
    </row>
    <row r="39" ht="70" customHeight="1" s="9">
      <c r="A39" s="15" t="inlineStr">
        <is>
          <t>C</t>
        </is>
      </c>
      <c r="B39" s="15" t="inlineStr">
        <is>
          <t>What's new</t>
        </is>
      </c>
      <c r="C39" s="4" t="inlineStr">
        <is>
          <t>P-10, P-11, P-25, P-24 (new)</t>
        </is>
      </c>
      <c r="D39" s="4" t="n"/>
      <c r="E39" s="4" t="n"/>
      <c r="F39" s="4" t="inlineStr">
        <is>
          <t>By heart</t>
        </is>
      </c>
      <c r="G39" s="4" t="n"/>
      <c r="H39" s="15" t="inlineStr">
        <is>
          <t>"We haven't compared ABOT with decentralised protocols or Meshtastic yet. Routing on link quality is a known idea; what we add is using it in a gateway-free LoRa mesh across five damage levels, with a simulator fast enough for RL."</t>
        </is>
      </c>
      <c r="I39" s="4" t="inlineStr">
        <is>
          <t>Each part of "what we add" invites a follow-up: [5] already has hardware results (P-25), the damage levels barely change the results (set B), and the simulator (set D).</t>
        </is>
      </c>
    </row>
    <row r="40" ht="56.8" customHeight="1" s="9">
      <c r="A40" s="15" t="inlineStr">
        <is>
          <t>D</t>
        </is>
      </c>
      <c r="B40" s="15" t="inlineStr">
        <is>
          <t>The fast simulator</t>
        </is>
      </c>
      <c r="C40" s="4" t="inlineStr">
        <is>
          <t>P-32 (new), P-17 (new)</t>
        </is>
      </c>
      <c r="D40" s="4" t="n"/>
      <c r="E40" s="4" t="n"/>
      <c r="F40" s="4" t="inlineStr">
        <is>
          <t>One line</t>
        </is>
      </c>
      <c r="G40" s="4" t="n"/>
      <c r="H40" s="15" t="inlineStr">
        <is>
          <t>"It's about 4.7× faster than our own reference simulator at the 10×10 grid we used, and up to 7.3× on a small grid. The two agree on which nodes are alive, not on traffic."</t>
        </is>
      </c>
      <c r="I40" s="4" t="inlineStr">
        <is>
          <t>The 4.7× isn't printed in the paper. It comes from the saved benchmark results, so a listener holding the paper only knows 7.3×.</t>
        </is>
      </c>
    </row>
    <row r="41" ht="109.6" customHeight="1" s="9">
      <c r="A41" s="15" t="inlineStr">
        <is>
          <t>E</t>
        </is>
      </c>
      <c r="B41" s="15" t="inlineStr">
        <is>
          <t>PPO and why RL</t>
        </is>
      </c>
      <c r="C41" s="4" t="inlineStr">
        <is>
          <t>P-12, P-28, P-45, P-23, P-18, P-14 (new), P-42 (new), P-08 (new)</t>
        </is>
      </c>
      <c r="D41" s="4" t="n"/>
      <c r="E41" s="4" t="n"/>
      <c r="F41" s="4" t="inlineStr">
        <is>
          <t>Opening by heart, the rest one line</t>
        </is>
      </c>
      <c r="G41" s="4" t="n"/>
      <c r="H41" s="15" t="inlineStr">
        <is>
          <t>"The RL part is exploratory. PPO is in the same range as the classical planners, but not better than the fastest ones."</t>
        </is>
      </c>
      <c r="I41" s="4" t="inlineStr">
        <is>
          <t>The livelock: in one test scenario the agent kept picking a neighbour that had died. Hiding dead neighbours from its choices (action masking) is the standard fix. It's one scenario repeated at five damage levels, not a trend. Don't say "lower bound" or "the 8 slots hold PPO back".</t>
        </is>
      </c>
    </row>
    <row r="42" ht="56.8" customHeight="1" s="9">
      <c r="A42" s="15" t="inlineStr">
        <is>
          <t>F</t>
        </is>
      </c>
      <c r="B42" s="15" t="inlineStr">
        <is>
          <t>Radio budget</t>
        </is>
      </c>
      <c r="C42" s="4" t="inlineStr">
        <is>
          <t>P-06, P-20, P-16, P-43, P-21</t>
        </is>
      </c>
      <c r="D42" s="4" t="n"/>
      <c r="E42" s="4" t="n"/>
      <c r="F42" s="4" t="inlineStr">
        <is>
          <t>Opening by heart, the rest one line</t>
        </is>
      </c>
      <c r="G42" s="4" t="n"/>
      <c r="H42" s="15" t="inlineStr">
        <is>
          <t>"Beacon airtime is a real limit at this density, and the paper lists it. Dense areas would need slower beacons or faster radio settings."</t>
        </is>
      </c>
      <c r="I42" s="4" t="inlineStr">
        <is>
          <t>Keep the numbers consistent: 4.4% per node assumes a beacon of about 20 bytes. With the paper's 34-byte header it would be about 6.0–6.6%.</t>
        </is>
      </c>
    </row>
    <row r="43" ht="83.2" customHeight="1" s="9">
      <c r="A43" s="15" t="inlineStr">
        <is>
          <t>G</t>
        </is>
      </c>
      <c r="B43" s="15" t="inlineStr">
        <is>
          <t>How realistic the channel is</t>
        </is>
      </c>
      <c r="C43" s="4" t="inlineStr">
        <is>
          <t>P-15, P-41, P-27 (new, only if needed)</t>
        </is>
      </c>
      <c r="D43" s="4" t="n"/>
      <c r="E43" s="4" t="n"/>
      <c r="F43" s="4" t="inlineStr">
        <is>
          <t>By heart</t>
        </is>
      </c>
      <c r="G43" s="4" t="n"/>
      <c r="H43" s="15" t="inlineStr">
        <is>
          <t>"The damage levels are relative stress settings. We checked them for internal consistency, not against real radio measurements."</t>
        </is>
      </c>
      <c r="I43" s="4" t="inlineStr">
        <is>
          <t>This set also answers "how realistic is the simulator?", one of the most likely questions. At the default damage level, a link delivers half its messages at about 2 km; at severe damage, at about 1 km.</t>
        </is>
      </c>
    </row>
    <row r="44" ht="56.8" customHeight="1" s="9">
      <c r="A44" s="15" t="inlineStr">
        <is>
          <t>H</t>
        </is>
      </c>
      <c r="B44" s="15" t="inlineStr">
        <is>
          <t>Full view of the network</t>
        </is>
      </c>
      <c r="C44" s="4" t="inlineStr">
        <is>
          <t>P-03</t>
        </is>
      </c>
      <c r="D44" s="4" t="n"/>
      <c r="E44" s="4" t="n"/>
      <c r="F44" s="4" t="inlineStr">
        <is>
          <t>By heart</t>
        </is>
      </c>
      <c r="G44" s="4" t="n"/>
      <c r="H44" s="15" t="inlineStr">
        <is>
          <t>"In the simulation the planners get a full view of the network, as a best case. Sharing that view over the air, and the airtime it costs, isn't modelled yet."</t>
        </is>
      </c>
      <c r="I44" s="4" t="inlineStr">
        <is>
          <t>Keep this consistent with sets C and E: the planners have a full view as a best case, and PPO's inputs include a few whole-network hints.</t>
        </is>
      </c>
    </row>
    <row r="45" ht="109.6" customHeight="1" s="9">
      <c r="A45" s="15" t="inlineStr">
        <is>
          <t>I</t>
        </is>
      </c>
      <c r="B45" s="15" t="inlineStr">
        <is>
          <t>Mistakes in the paper</t>
        </is>
      </c>
      <c r="C45" s="4" t="inlineStr">
        <is>
          <t>P-40, P-38 (new)</t>
        </is>
      </c>
      <c r="D45" s="4" t="n"/>
      <c r="E45" s="4" t="n"/>
      <c r="F45" s="4" t="inlineStr">
        <is>
          <t>One line</t>
        </is>
      </c>
      <c r="G45" s="4" t="n"/>
      <c r="H45" s="15" t="inlineStr">
        <is>
          <t>"That's a mistake in the paper. Here's the right figure."</t>
        </is>
      </c>
      <c r="I45" s="4" t="inlineStr">
        <is>
          <t>P-40: the main comparison (0.267 vs 0.145) comes from 100 episodes; "250 per level" belongs to the damage sweep. P-38: "identical on all 100" is about a simulator check (the static planners take the same steps on both simulators), not about the two planners, which take 2.17 vs 3.23 steps.</t>
        </is>
      </c>
    </row>
    <row r="46" ht="10" customHeight="1" s="9"/>
    <row r="47" ht="19.8" customHeight="1" s="9">
      <c r="A47" s="12" t="inlineStr">
        <is>
          <t>Every point, one row (filter with the arrows in the header)</t>
        </is>
      </c>
      <c r="B47" s="10" t="n"/>
      <c r="C47" s="10" t="n"/>
      <c r="D47" s="10" t="n"/>
      <c r="E47" s="10" t="n"/>
      <c r="F47" s="10" t="n"/>
      <c r="G47" s="10" t="n"/>
      <c r="H47" s="10" t="n"/>
      <c r="I47" s="10" t="n"/>
    </row>
    <row r="48" ht="30.4" customHeight="1" s="9">
      <c r="A48" s="14" t="inlineStr">
        <is>
          <t>ID</t>
        </is>
      </c>
      <c r="B48" s="14" t="inlineStr">
        <is>
          <t>The problem in one line</t>
        </is>
      </c>
      <c r="C48" s="14" t="inlineStr">
        <is>
          <t>Priority</t>
        </is>
      </c>
      <c r="D48" s="14" t="inlineStr">
        <is>
          <t>Hard to defend</t>
        </is>
      </c>
      <c r="E48" s="14" t="inlineStr">
        <is>
          <t>Your set</t>
        </is>
      </c>
      <c r="F48" s="14" t="inlineStr">
        <is>
          <t>Suggested set</t>
        </is>
      </c>
      <c r="G48" s="14" t="inlineStr">
        <is>
          <t>Change</t>
        </is>
      </c>
      <c r="H48" s="14" t="inlineStr">
        <is>
          <t>Why</t>
        </is>
      </c>
      <c r="I48" s="14" t="inlineStr">
        <is>
          <t>Prep level</t>
        </is>
      </c>
    </row>
    <row r="49" ht="43.6" customHeight="1" s="9">
      <c r="A49" s="4" t="inlineStr">
        <is>
          <t>P-01</t>
        </is>
      </c>
      <c r="B49" s="4" t="inlineStr">
        <is>
          <t>The paper never measures whether an SOS reaches a rescuer</t>
        </is>
      </c>
      <c r="C49" s="16" t="inlineStr">
        <is>
          <t>Critical</t>
        </is>
      </c>
      <c r="D49" s="4" t="n">
        <v>85</v>
      </c>
      <c r="E49" s="4" t="inlineStr">
        <is>
          <t>Own + big set</t>
        </is>
      </c>
      <c r="F49" s="15" t="inlineStr">
        <is>
          <t>A</t>
        </is>
      </c>
      <c r="G49" s="17" t="inlineStr">
        <is>
          <t>Fix duplicate</t>
        </is>
      </c>
      <c r="H49" s="4" t="inlineStr">
        <is>
          <t>It's on your list twice. Give it one home, with P-04, P-07 and P-22: they all come down to what the main number does and doesn't measure.</t>
        </is>
      </c>
      <c r="I49" s="15" t="inlineStr">
        <is>
          <t>By heart</t>
        </is>
      </c>
    </row>
    <row r="50" ht="56.8" customHeight="1" s="9">
      <c r="A50" s="4" t="inlineStr">
        <is>
          <t>P-02</t>
        </is>
      </c>
      <c r="B50" s="4" t="inlineStr">
        <is>
          <t>Episodes last seconds, not a 33-minute window</t>
        </is>
      </c>
      <c r="C50" s="16" t="inlineStr">
        <is>
          <t>Critical</t>
        </is>
      </c>
      <c r="D50" s="4" t="n">
        <v>85</v>
      </c>
      <c r="E50" s="4" t="inlineStr">
        <is>
          <t>{P-02, P-41}</t>
        </is>
      </c>
      <c r="F50" s="15" t="inlineStr">
        <is>
          <t>B</t>
        </is>
      </c>
      <c r="G50" s="18" t="inlineStr">
        <is>
          <t>Move</t>
        </is>
      </c>
      <c r="H50" s="4" t="inlineStr">
        <is>
          <t>More than a wording fix. Episodes last tens of seconds, so failures, battery drain and the 25-minute link window barely act. The follow-up ("so what does your damage model test?") is set B's question.</t>
        </is>
      </c>
      <c r="I50" s="4" t="inlineStr">
        <is>
          <t>One line</t>
        </is>
      </c>
    </row>
    <row r="51" ht="30.4" customHeight="1" s="9">
      <c r="A51" s="4" t="inlineStr">
        <is>
          <t>P-03</t>
        </is>
      </c>
      <c r="B51" s="4" t="inlineStr">
        <is>
          <t>The planner needs a full map the protocol never builds</t>
        </is>
      </c>
      <c r="C51" s="16" t="inlineStr">
        <is>
          <t>Critical</t>
        </is>
      </c>
      <c r="D51" s="4" t="n">
        <v>85</v>
      </c>
      <c r="E51" s="4" t="inlineStr">
        <is>
          <t>Own</t>
        </is>
      </c>
      <c r="F51" s="15" t="inlineStr">
        <is>
          <t>H</t>
        </is>
      </c>
      <c r="G51" s="19" t="inlineStr">
        <is>
          <t>Keep</t>
        </is>
      </c>
      <c r="H51" s="4" t="inlineStr">
        <is>
          <t>A question of its own: how does a node know the whole network? Keep the answer consistent with P-10 and P-12.</t>
        </is>
      </c>
      <c r="I51" s="15" t="inlineStr">
        <is>
          <t>By heart</t>
        </is>
      </c>
    </row>
    <row r="52" ht="43.6" customHeight="1" s="9">
      <c r="A52" s="4" t="inlineStr">
        <is>
          <t>P-04</t>
        </is>
      </c>
      <c r="B52" s="4" t="inlineStr">
        <is>
          <t>The link scores can't be per-hop delivery chances</t>
        </is>
      </c>
      <c r="C52" s="16" t="inlineStr">
        <is>
          <t>Critical</t>
        </is>
      </c>
      <c r="D52" s="4" t="n">
        <v>82</v>
      </c>
      <c r="E52" s="4" t="inlineStr">
        <is>
          <t>Own</t>
        </is>
      </c>
      <c r="F52" s="15" t="inlineStr">
        <is>
          <t>A</t>
        </is>
      </c>
      <c r="G52" s="18" t="inlineStr">
        <is>
          <t>Move</t>
        </is>
      </c>
      <c r="H52" s="4" t="inlineStr">
        <is>
          <t>Same answer as P-07 and P-22: 0.267 and 0.145 are link-quality scores, not delivery chances. Answering them separately risks three different definitions of one number.</t>
        </is>
      </c>
      <c r="I52" s="15" t="inlineStr">
        <is>
          <t>By heart</t>
        </is>
      </c>
    </row>
    <row r="53" ht="43.6" customHeight="1" s="9">
      <c r="A53" s="4" t="inlineStr">
        <is>
          <t>P-05</t>
        </is>
      </c>
      <c r="B53" s="4" t="inlineStr">
        <is>
          <t>Every method succeeds, so the test can't show robustness</t>
        </is>
      </c>
      <c r="C53" s="16" t="inlineStr">
        <is>
          <t>Critical</t>
        </is>
      </c>
      <c r="D53" s="4" t="n">
        <v>80</v>
      </c>
      <c r="E53" s="4" t="inlineStr">
        <is>
          <t>Big set</t>
        </is>
      </c>
      <c r="F53" s="15" t="inlineStr">
        <is>
          <t>B</t>
        </is>
      </c>
      <c r="G53" s="18" t="inlineStr">
        <is>
          <t>Move</t>
        </is>
      </c>
      <c r="H53" s="4" t="inlineStr">
        <is>
          <t>Its answer starts with "yes, the task is easy", not "future work". Don't call the damage sweep "just a baseline": the paper claims it as a contribution.</t>
        </is>
      </c>
      <c r="I53" s="15" t="inlineStr">
        <is>
          <t>By heart</t>
        </is>
      </c>
    </row>
    <row r="54" ht="43.6" customHeight="1" s="9">
      <c r="A54" s="4" t="inlineStr">
        <is>
          <t>P-06</t>
        </is>
      </c>
      <c r="B54" s="4" t="inlineStr">
        <is>
          <t>Beacons alone would saturate the radio channel at this density</t>
        </is>
      </c>
      <c r="C54" s="16" t="inlineStr">
        <is>
          <t>Critical</t>
        </is>
      </c>
      <c r="D54" s="4" t="n">
        <v>80</v>
      </c>
      <c r="E54" s="4" t="inlineStr">
        <is>
          <t>Own</t>
        </is>
      </c>
      <c r="F54" s="15" t="inlineStr">
        <is>
          <t>F</t>
        </is>
      </c>
      <c r="G54" s="18" t="inlineStr">
        <is>
          <t>Move</t>
        </is>
      </c>
      <c r="H54" s="4" t="inlineStr">
        <is>
          <t>Same story as P-20: beacon airtime is high for each node, and the ~30 neighbours around each receiver add up. One answer for both keeps the numbers consistent.</t>
        </is>
      </c>
      <c r="I54" s="15" t="inlineStr">
        <is>
          <t>By heart</t>
        </is>
      </c>
    </row>
    <row r="55" ht="56.8" customHeight="1" s="9">
      <c r="A55" s="4" t="inlineStr">
        <is>
          <t>P-07</t>
        </is>
      </c>
      <c r="B55" s="4" t="inlineStr">
        <is>
          <t>The winning planner is graded on the score it chases</t>
        </is>
      </c>
      <c r="C55" s="16" t="inlineStr">
        <is>
          <t>Critical</t>
        </is>
      </c>
      <c r="D55" s="4" t="n">
        <v>75</v>
      </c>
      <c r="E55" s="4" t="inlineStr">
        <is>
          <t>{P-07, P-13}</t>
        </is>
      </c>
      <c r="F55" s="15" t="inlineStr">
        <is>
          <t>A</t>
        </is>
      </c>
      <c r="G55" s="18" t="inlineStr">
        <is>
          <t>Move</t>
        </is>
      </c>
      <c r="H55" s="4" t="inlineStr">
        <is>
          <t>Same number as P-04 and P-22. Admit it: the planner picks routes using the same score it's measured on, so we only claim it changes which routes get picked. "It's a proof of concept" or "hardware will tell" doesn't fix this.</t>
        </is>
      </c>
      <c r="I55" s="15" t="inlineStr">
        <is>
          <t>By heart</t>
        </is>
      </c>
    </row>
    <row r="56" ht="70" customHeight="1" s="9">
      <c r="A56" s="4" t="inlineStr">
        <is>
          <t>P-08</t>
        </is>
      </c>
      <c r="B56" s="4" t="inlineStr">
        <is>
          <t>The abstract's damage claims contradict the paper's own results</t>
        </is>
      </c>
      <c r="C56" s="20" t="inlineStr">
        <is>
          <t>Major</t>
        </is>
      </c>
      <c r="D56" s="4" t="n">
        <v>80</v>
      </c>
      <c r="E56" s="4" t="inlineStr">
        <is>
          <t>Not on your list</t>
        </is>
      </c>
      <c r="F56" s="15" t="inlineStr">
        <is>
          <t>A + E</t>
        </is>
      </c>
      <c r="G56" s="21" t="inlineStr">
        <is>
          <t>Add</t>
        </is>
      </c>
      <c r="H56" s="4" t="inlineStr">
        <is>
          <t>The abstract is the most-read part of the paper. It claims "improved packet delivery" (not measured) and "limitations of RL-based routing under extreme network collapse" (PPO's one failure happens at every damage level, even intact). A session chair may ask about it.</t>
        </is>
      </c>
      <c r="I56" s="15" t="inlineStr">
        <is>
          <t>By heart</t>
        </is>
      </c>
    </row>
    <row r="57" ht="30.4" customHeight="1" s="9">
      <c r="A57" s="4" t="inlineStr">
        <is>
          <t>P-10</t>
        </is>
      </c>
      <c r="B57" s="4" t="inlineStr">
        <is>
          <t>None of the baselines is a decentralised protocol</t>
        </is>
      </c>
      <c r="C57" s="20" t="inlineStr">
        <is>
          <t>Major</t>
        </is>
      </c>
      <c r="D57" s="4" t="n">
        <v>78</v>
      </c>
      <c r="E57" s="4" t="inlineStr">
        <is>
          <t>{P-10, P-11}</t>
        </is>
      </c>
      <c r="F57" s="15" t="inlineStr">
        <is>
          <t>C</t>
        </is>
      </c>
      <c r="G57" s="19" t="inlineStr">
        <is>
          <t>Keep</t>
        </is>
      </c>
      <c r="H57" s="4" t="inlineStr">
        <is>
          <t>Good pair. Add P-25 and P-24: all four are "how does this compare, and what's new?"</t>
        </is>
      </c>
      <c r="I57" s="15" t="inlineStr">
        <is>
          <t>By heart</t>
        </is>
      </c>
    </row>
    <row r="58" ht="43.6" customHeight="1" s="9">
      <c r="A58" s="4" t="inlineStr">
        <is>
          <t>P-11</t>
        </is>
      </c>
      <c r="B58" s="4" t="inlineStr">
        <is>
          <t>Live link-quality routing already exists in mesh protocols</t>
        </is>
      </c>
      <c r="C58" s="20" t="inlineStr">
        <is>
          <t>Major</t>
        </is>
      </c>
      <c r="D58" s="4" t="n">
        <v>75</v>
      </c>
      <c r="E58" s="4" t="inlineStr">
        <is>
          <t>{P-10, P-11}</t>
        </is>
      </c>
      <c r="F58" s="15" t="inlineStr">
        <is>
          <t>C</t>
        </is>
      </c>
      <c r="G58" s="19" t="inlineStr">
        <is>
          <t>Keep</t>
        </is>
      </c>
      <c r="H58" s="4" t="inlineStr">
        <is>
          <t>Good pair. Don't claim the metric is new; claim where you use it.</t>
        </is>
      </c>
      <c r="I58" s="15" t="inlineStr">
        <is>
          <t>By heart</t>
        </is>
      </c>
    </row>
    <row r="59" ht="56.8" customHeight="1" s="9">
      <c r="A59" s="4" t="inlineStr">
        <is>
          <t>P-12</t>
        </is>
      </c>
      <c r="B59" s="4" t="inlineStr">
        <is>
          <t>PPO's 'local only' view includes whole-network information</t>
        </is>
      </c>
      <c r="C59" s="20" t="inlineStr">
        <is>
          <t>Major</t>
        </is>
      </c>
      <c r="D59" s="4" t="n">
        <v>75</v>
      </c>
      <c r="E59" s="4" t="inlineStr">
        <is>
          <t>Own</t>
        </is>
      </c>
      <c r="F59" s="15" t="inlineStr">
        <is>
          <t>E</t>
        </is>
      </c>
      <c r="G59" s="18" t="inlineStr">
        <is>
          <t>Move</t>
        </is>
      </c>
      <c r="H59" s="4" t="inlineStr">
        <is>
          <t>It's the trap inside "why RL?". Don't excuse PPO with "it only sees local information": the paper's own input list includes whole-network hints. Keep it consistent with the livelock answer: no "lower bound".</t>
        </is>
      </c>
      <c r="I59" s="4" t="inlineStr">
        <is>
          <t>One line</t>
        </is>
      </c>
    </row>
    <row r="60" ht="56.8" customHeight="1" s="9">
      <c r="A60" s="4" t="inlineStr">
        <is>
          <t>P-13</t>
        </is>
      </c>
      <c r="B60" s="4" t="inlineStr">
        <is>
          <t>Claim that damage removes long-range shortcuts is not shown</t>
        </is>
      </c>
      <c r="C60" s="20" t="inlineStr">
        <is>
          <t>Major</t>
        </is>
      </c>
      <c r="D60" s="4" t="n">
        <v>75</v>
      </c>
      <c r="E60" s="4" t="inlineStr">
        <is>
          <t>{P-07, P-13}</t>
        </is>
      </c>
      <c r="F60" s="15" t="inlineStr">
        <is>
          <t>B</t>
        </is>
      </c>
      <c r="G60" s="18" t="inlineStr">
        <is>
          <t>Move</t>
        </is>
      </c>
      <c r="H60" s="4" t="inlineStr">
        <is>
          <t>Its answer is P-05's: every method almost always succeeds, so damage doesn't reach the routing task yet. If you paired it with P-07 because they share a fix, that fix also covers P-01, P-04 and P-05.</t>
        </is>
      </c>
      <c r="I60" s="4" t="inlineStr">
        <is>
          <t>One line</t>
        </is>
      </c>
    </row>
    <row r="61" ht="70" customHeight="1" s="9">
      <c r="A61" s="4" t="inlineStr">
        <is>
          <t>P-14</t>
        </is>
      </c>
      <c r="B61" s="4" t="inlineStr">
        <is>
          <t>The paper doesn't say which trained model its results use</t>
        </is>
      </c>
      <c r="C61" s="20" t="inlineStr">
        <is>
          <t>Major</t>
        </is>
      </c>
      <c r="D61" s="4" t="n">
        <v>72</v>
      </c>
      <c r="E61" s="4" t="inlineStr">
        <is>
          <t>Not on your list</t>
        </is>
      </c>
      <c r="F61" s="15" t="inlineStr">
        <is>
          <t>E</t>
        </is>
      </c>
      <c r="G61" s="21" t="inlineStr">
        <is>
          <t>Add</t>
        </is>
      </c>
      <c r="H61" s="4" t="inlineStr">
        <is>
          <t>Section VI prints the scores of all three trained models (−0.67, 0.18, 0.71), so "which model did you test?" can be asked from the paper. The true answer is seed 0, the −0.67 one, so have a follow-up ready. A better use of time than P-31 or P-52.</t>
        </is>
      </c>
      <c r="I61" s="4" t="inlineStr">
        <is>
          <t>One line</t>
        </is>
      </c>
    </row>
    <row r="62" ht="43.6" customHeight="1" s="9">
      <c r="A62" s="4" t="inlineStr">
        <is>
          <t>P-15</t>
        </is>
      </c>
      <c r="B62" s="4" t="inlineStr">
        <is>
          <t>The channel model's distances and damage presets look miscalibrated</t>
        </is>
      </c>
      <c r="C62" s="20" t="inlineStr">
        <is>
          <t>Major</t>
        </is>
      </c>
      <c r="D62" s="4" t="n">
        <v>72</v>
      </c>
      <c r="E62" s="4" t="inlineStr">
        <is>
          <t>Own</t>
        </is>
      </c>
      <c r="F62" s="15" t="inlineStr">
        <is>
          <t>G</t>
        </is>
      </c>
      <c r="G62" s="18" t="inlineStr">
        <is>
          <t>Move</t>
        </is>
      </c>
      <c r="H62" s="4" t="inlineStr">
        <is>
          <t>Pair it with P-41: both are range numbers from Fig. 2. It's also the "how realistic is the simulator?" question, which is very likely.</t>
        </is>
      </c>
      <c r="I62" s="15" t="inlineStr">
        <is>
          <t>By heart</t>
        </is>
      </c>
    </row>
    <row r="63" ht="43.6" customHeight="1" s="9">
      <c r="A63" s="4" t="inlineStr">
        <is>
          <t>P-16</t>
        </is>
      </c>
      <c r="B63" s="4" t="inlineStr">
        <is>
          <t>The packet sizes don't add up</t>
        </is>
      </c>
      <c r="C63" s="20" t="inlineStr">
        <is>
          <t>Major</t>
        </is>
      </c>
      <c r="D63" s="4" t="n">
        <v>70</v>
      </c>
      <c r="E63" s="4" t="inlineStr">
        <is>
          <t>Own</t>
        </is>
      </c>
      <c r="F63" s="15" t="inlineStr">
        <is>
          <t>F</t>
        </is>
      </c>
      <c r="G63" s="18" t="inlineStr">
        <is>
          <t>Move</t>
        </is>
      </c>
      <c r="H63" s="4" t="inlineStr">
        <is>
          <t>Part of the radio budget. Only comes up if packet sizes are on a slide. Don't claim the real header is "compact": no specification exists.</t>
        </is>
      </c>
      <c r="I63" s="22" t="inlineStr">
        <is>
          <t>Glance</t>
        </is>
      </c>
    </row>
    <row r="64" ht="43.6" customHeight="1" s="9">
      <c r="A64" s="4" t="inlineStr">
        <is>
          <t>P-17</t>
        </is>
      </c>
      <c r="B64" s="4" t="inlineStr">
        <is>
          <t>The simulator match on alive nodes is nearly guaranteed</t>
        </is>
      </c>
      <c r="C64" s="20" t="inlineStr">
        <is>
          <t>Major</t>
        </is>
      </c>
      <c r="D64" s="4" t="n">
        <v>70</v>
      </c>
      <c r="E64" s="4" t="inlineStr">
        <is>
          <t>Not on your list</t>
        </is>
      </c>
      <c r="F64" s="15" t="inlineStr">
        <is>
          <t>D</t>
        </is>
      </c>
      <c r="G64" s="21" t="inlineStr">
        <is>
          <t>Add</t>
        </is>
      </c>
      <c r="H64" s="4" t="inlineStr">
        <is>
          <t>If you call the fast simulator "validated", expect "validated on what?". The paper itself says the two simulators agree on which nodes are alive, not on traffic.</t>
        </is>
      </c>
      <c r="I64" s="4" t="inlineStr">
        <is>
          <t>One line</t>
        </is>
      </c>
    </row>
    <row r="65" ht="56.8" customHeight="1" s="9">
      <c r="A65" s="4" t="inlineStr">
        <is>
          <t>P-18</t>
        </is>
      </c>
      <c r="B65" s="4" t="inlineStr">
        <is>
          <t>The gossip test was bound to find no difference</t>
        </is>
      </c>
      <c r="C65" s="20" t="inlineStr">
        <is>
          <t>Major</t>
        </is>
      </c>
      <c r="D65" s="4" t="n">
        <v>70</v>
      </c>
      <c r="E65" s="4" t="inlineStr">
        <is>
          <t>Big set</t>
        </is>
      </c>
      <c r="F65" s="15" t="inlineStr">
        <is>
          <t>E</t>
        </is>
      </c>
      <c r="G65" s="18" t="inlineStr">
        <is>
          <t>Move</t>
        </is>
      </c>
      <c r="H65" s="4" t="inlineStr">
        <is>
          <t>Its answer starts with "gossip made no difference; its merge step isn't connected", not "future work". Don't repeat the paper's line that the gossip arm "pays gossip's airtime": no gossip was sent during evaluation.</t>
        </is>
      </c>
      <c r="I65" s="4" t="inlineStr">
        <is>
          <t>One line</t>
        </is>
      </c>
    </row>
    <row r="66" ht="43.6" customHeight="1" s="9">
      <c r="A66" s="4" t="inlineStr">
        <is>
          <t>P-20</t>
        </is>
      </c>
      <c r="B66" s="4" t="inlineStr">
        <is>
          <t>The airtime figure is miscalculated and cites the wrong rule</t>
        </is>
      </c>
      <c r="C66" s="20" t="inlineStr">
        <is>
          <t>Major</t>
        </is>
      </c>
      <c r="D66" s="4" t="n">
        <v>68</v>
      </c>
      <c r="E66" s="4" t="inlineStr">
        <is>
          <t>Own</t>
        </is>
      </c>
      <c r="F66" s="15" t="inlineStr">
        <is>
          <t>F</t>
        </is>
      </c>
      <c r="G66" s="18" t="inlineStr">
        <is>
          <t>Move</t>
        </is>
      </c>
      <c r="H66" s="4" t="inlineStr">
        <is>
          <t>Same answer as P-06. Don't say India has no duty-cycle limit, because that isn't verified. "ETSI is a European rule; airtime is the real limit either way" is enough.</t>
        </is>
      </c>
      <c r="I66" s="4" t="inlineStr">
        <is>
          <t>One line</t>
        </is>
      </c>
    </row>
    <row r="67" ht="56.8" customHeight="1" s="9">
      <c r="A67" s="4" t="inlineStr">
        <is>
          <t>P-21</t>
        </is>
      </c>
      <c r="B67" s="4" t="inlineStr">
        <is>
          <t>The channel model assumes timing the design doesn't describe</t>
        </is>
      </c>
      <c r="C67" s="20" t="inlineStr">
        <is>
          <t>Major</t>
        </is>
      </c>
      <c r="D67" s="4" t="n">
        <v>68</v>
      </c>
      <c r="E67" s="4" t="inlineStr">
        <is>
          <t>{P-28, P-45, P-21, P-23}</t>
        </is>
      </c>
      <c r="F67" s="15" t="inlineStr">
        <is>
          <t>F</t>
        </is>
      </c>
      <c r="G67" s="18" t="inlineStr">
        <is>
          <t>Move</t>
        </is>
      </c>
      <c r="H67" s="4" t="inlineStr">
        <is>
          <t>It's about how nodes share the channel (slotted ALOHA needs a shared clock), not about PPO. Answer: it's a simplified collision model for the simulation, not a design for real radios.</t>
        </is>
      </c>
      <c r="I67" s="22" t="inlineStr">
        <is>
          <t>Glance</t>
        </is>
      </c>
    </row>
    <row r="68" ht="30.4" customHeight="1" s="9">
      <c r="A68" s="4" t="inlineStr">
        <is>
          <t>P-22</t>
        </is>
      </c>
      <c r="B68" s="4" t="inlineStr">
        <is>
          <t>The paper uses PDR for three different quantities</t>
        </is>
      </c>
      <c r="C68" s="20" t="inlineStr">
        <is>
          <t>Major</t>
        </is>
      </c>
      <c r="D68" s="4" t="n">
        <v>65</v>
      </c>
      <c r="E68" s="4" t="inlineStr">
        <is>
          <t>Own</t>
        </is>
      </c>
      <c r="F68" s="15" t="inlineStr">
        <is>
          <t>A</t>
        </is>
      </c>
      <c r="G68" s="18" t="inlineStr">
        <is>
          <t>Move</t>
        </is>
      </c>
      <c r="H68" s="4" t="inlineStr">
        <is>
          <t>Same answer as P-04 and P-07. Label every PDR on your slides with what it measures.</t>
        </is>
      </c>
      <c r="I68" s="15" t="inlineStr">
        <is>
          <t>By heart</t>
        </is>
      </c>
    </row>
    <row r="69" ht="30.4" customHeight="1" s="9">
      <c r="A69" s="4" t="inlineStr">
        <is>
          <t>P-23</t>
        </is>
      </c>
      <c r="B69" s="4" t="inlineStr">
        <is>
          <t>The livelock claim rests on one repeated scenario</t>
        </is>
      </c>
      <c r="C69" s="20" t="inlineStr">
        <is>
          <t>Major</t>
        </is>
      </c>
      <c r="D69" s="4" t="n">
        <v>65</v>
      </c>
      <c r="E69" s="4" t="inlineStr">
        <is>
          <t>{P-28, P-45, P-21, P-23}</t>
        </is>
      </c>
      <c r="F69" s="15" t="inlineStr">
        <is>
          <t>E</t>
        </is>
      </c>
      <c r="G69" s="19" t="inlineStr">
        <is>
          <t>Keep</t>
        </is>
      </c>
      <c r="H69" s="4" t="inlineStr">
        <is>
          <t>Good: part of the livelock set. It's one scenario repeated at five damage levels, reported for transparency.</t>
        </is>
      </c>
      <c r="I69" s="4" t="inlineStr">
        <is>
          <t>One line</t>
        </is>
      </c>
    </row>
    <row r="70" ht="70" customHeight="1" s="9">
      <c r="A70" s="4" t="inlineStr">
        <is>
          <t>P-24</t>
        </is>
      </c>
      <c r="B70" s="4" t="inlineStr">
        <is>
          <t>Existing tools contradict the claimed research gap</t>
        </is>
      </c>
      <c r="C70" s="20" t="inlineStr">
        <is>
          <t>Major</t>
        </is>
      </c>
      <c r="D70" s="4" t="n">
        <v>65</v>
      </c>
      <c r="E70" s="4" t="inlineStr">
        <is>
          <t>Not on your list</t>
        </is>
      </c>
      <c r="F70" s="15" t="inlineStr">
        <is>
          <t>C</t>
        </is>
      </c>
      <c r="G70" s="21" t="inlineStr">
        <is>
          <t>Add</t>
        </is>
      </c>
      <c r="H70" s="4" t="inlineStr">
        <is>
          <t>Your "what's new" answer leans on a simulator fast enough for RL. The paper says LoRa simulators lack that, but tools such as ns3-gym exist (an outside fact: check it before quoting). Say ABOT offers a fast, mesh-specific environment, not the only one.</t>
        </is>
      </c>
      <c r="I70" s="4" t="inlineStr">
        <is>
          <t>One line</t>
        </is>
      </c>
    </row>
    <row r="71" ht="56.8" customHeight="1" s="9">
      <c r="A71" s="4" t="inlineStr">
        <is>
          <t>P-25</t>
        </is>
      </c>
      <c r="B71" s="4" t="inlineStr">
        <is>
          <t>The closest prior work already has hardware results</t>
        </is>
      </c>
      <c r="C71" s="20" t="inlineStr">
        <is>
          <t>Major</t>
        </is>
      </c>
      <c r="D71" s="4" t="n">
        <v>62</v>
      </c>
      <c r="E71" s="4" t="inlineStr">
        <is>
          <t>Big set</t>
        </is>
      </c>
      <c r="F71" s="15" t="inlineStr">
        <is>
          <t>C</t>
        </is>
      </c>
      <c r="G71" s="18" t="inlineStr">
        <is>
          <t>Move</t>
        </is>
      </c>
      <c r="H71" s="4" t="inlineStr">
        <is>
          <t>The question is "[5] already has hardware, so what do you add?". "Hardware is next" doesn't answer it. Lead with what's new, then admit [5] has hardware results and ABOT doesn't yet.</t>
        </is>
      </c>
      <c r="I71" s="15" t="inlineStr">
        <is>
          <t>By heart</t>
        </is>
      </c>
    </row>
    <row r="72" ht="43.6" customHeight="1" s="9">
      <c r="A72" s="4" t="inlineStr">
        <is>
          <t>P-27</t>
        </is>
      </c>
      <c r="B72" s="4" t="inlineStr">
        <is>
          <t>The channel model cites a source for a different radio</t>
        </is>
      </c>
      <c r="C72" s="20" t="inlineStr">
        <is>
          <t>Major</t>
        </is>
      </c>
      <c r="D72" s="4" t="n">
        <v>60</v>
      </c>
      <c r="E72" s="4" t="inlineStr">
        <is>
          <t>Not on your list</t>
        </is>
      </c>
      <c r="F72" s="15" t="inlineStr">
        <is>
          <t>G</t>
        </is>
      </c>
      <c r="G72" s="21" t="inlineStr">
        <is>
          <t>Add</t>
        </is>
      </c>
      <c r="H72" s="4" t="inlineStr">
        <is>
          <t>Only if a slide names where the path-loss numbers come from. The cited source [10] is a model for a different kind of radio (UWB).</t>
        </is>
      </c>
      <c r="I72" s="22" t="inlineStr">
        <is>
          <t>Glance</t>
        </is>
      </c>
    </row>
    <row r="73" ht="43.6" customHeight="1" s="9">
      <c r="A73" s="4" t="inlineStr">
        <is>
          <t>P-28</t>
        </is>
      </c>
      <c r="B73" s="4" t="inlineStr">
        <is>
          <t>PPO's eight choices depend on how the nodes are numbered</t>
        </is>
      </c>
      <c r="C73" s="20" t="inlineStr">
        <is>
          <t>Major</t>
        </is>
      </c>
      <c r="D73" s="4" t="n">
        <v>60</v>
      </c>
      <c r="E73" s="4" t="inlineStr">
        <is>
          <t>{P-28, P-45, P-21, P-23}</t>
        </is>
      </c>
      <c r="F73" s="15" t="inlineStr">
        <is>
          <t>E</t>
        </is>
      </c>
      <c r="G73" s="19" t="inlineStr">
        <is>
          <t>Keep</t>
        </is>
      </c>
      <c r="H73" s="4" t="inlineStr">
        <is>
          <t>Good. Say the fixed list of 8 was a simplification and masking is the fix. Don't say the 8 slots hold PPO back: in the tested scenarios they always include a best next hop.</t>
        </is>
      </c>
      <c r="I73" s="4" t="inlineStr">
        <is>
          <t>One line</t>
        </is>
      </c>
    </row>
    <row r="74" ht="43.6" customHeight="1" s="9">
      <c r="A74" s="4" t="inlineStr">
        <is>
          <t>P-30</t>
        </is>
      </c>
      <c r="B74" s="4" t="inlineStr">
        <is>
          <t>Clustered failures are motivated but never tested</t>
        </is>
      </c>
      <c r="C74" s="20" t="inlineStr">
        <is>
          <t>Major</t>
        </is>
      </c>
      <c r="D74" s="4" t="n">
        <v>55</v>
      </c>
      <c r="E74" s="4" t="inlineStr">
        <is>
          <t>Big set</t>
        </is>
      </c>
      <c r="F74" s="15" t="inlineStr">
        <is>
          <t>B</t>
        </is>
      </c>
      <c r="G74" s="18" t="inlineStr">
        <is>
          <t>Move</t>
        </is>
      </c>
      <c r="H74" s="4" t="inlineStr">
        <is>
          <t>Clustered failures were never tested. It will most likely come up inside "why RL?", because the paper's reason for RL is clustered failures (see P-42).</t>
        </is>
      </c>
      <c r="I74" s="4" t="inlineStr">
        <is>
          <t>One line</t>
        </is>
      </c>
    </row>
    <row r="75" ht="43.6" customHeight="1" s="9">
      <c r="A75" s="4" t="inlineStr">
        <is>
          <t>P-31</t>
        </is>
      </c>
      <c r="B75" s="4" t="inlineStr">
        <is>
          <t>The +5 reward pays for traffic the agent doesn't control</t>
        </is>
      </c>
      <c r="C75" s="20" t="inlineStr">
        <is>
          <t>Major</t>
        </is>
      </c>
      <c r="D75" s="4" t="n">
        <v>55</v>
      </c>
      <c r="E75" s="4" t="inlineStr">
        <is>
          <t>Own</t>
        </is>
      </c>
      <c r="F75" s="15" t="inlineStr">
        <is>
          <t>A</t>
        </is>
      </c>
      <c r="G75" s="18" t="inlineStr">
        <is>
          <t>Move</t>
        </is>
      </c>
      <c r="H75" s="4" t="inlineStr">
        <is>
          <t>Only comes up if the reward table is on a slide. If it does, it leads to set A: in this version the agent's route doesn't carry the SOS message.</t>
        </is>
      </c>
      <c r="I75" s="22" t="inlineStr">
        <is>
          <t>Glance</t>
        </is>
      </c>
    </row>
    <row r="76" ht="30.4" customHeight="1" s="9">
      <c r="A76" s="4" t="inlineStr">
        <is>
          <t>P-32</t>
        </is>
      </c>
      <c r="B76" s="4" t="inlineStr">
        <is>
          <t>The speed-up headline hides its grid size and mode</t>
        </is>
      </c>
      <c r="C76" s="20" t="inlineStr">
        <is>
          <t>Major</t>
        </is>
      </c>
      <c r="D76" s="4" t="n">
        <v>55</v>
      </c>
      <c r="E76" s="4" t="inlineStr">
        <is>
          <t>Not on your list</t>
        </is>
      </c>
      <c r="F76" s="15" t="inlineStr">
        <is>
          <t>D</t>
        </is>
      </c>
      <c r="G76" s="21" t="inlineStr">
        <is>
          <t>Add</t>
        </is>
      </c>
      <c r="H76" s="4" t="inlineStr">
        <is>
          <t>"Up to 7.3×" gives no grid size, so "at what size?" is a natural question. It's 4.7× at the 10×10 grid you used.</t>
        </is>
      </c>
      <c r="I76" s="4" t="inlineStr">
        <is>
          <t>One line</t>
        </is>
      </c>
    </row>
    <row r="77" ht="43.6" customHeight="1" s="9">
      <c r="A77" s="4" t="inlineStr">
        <is>
          <t>P-35</t>
        </is>
      </c>
      <c r="B77" s="4" t="inlineStr">
        <is>
          <t>Nodes are assumed static, yet the paper mentions movement</t>
        </is>
      </c>
      <c r="C77" s="20" t="inlineStr">
        <is>
          <t>Major</t>
        </is>
      </c>
      <c r="D77" s="4" t="n">
        <v>50</v>
      </c>
      <c r="E77" s="4" t="inlineStr">
        <is>
          <t>Big set</t>
        </is>
      </c>
      <c r="F77" s="15" t="inlineStr">
        <is>
          <t>B</t>
        </is>
      </c>
      <c r="G77" s="18" t="inlineStr">
        <is>
          <t>Move</t>
        </is>
      </c>
      <c r="H77" s="4" t="inlineStr">
        <is>
          <t>One line is enough: the nodes are static in this study. Don't say nodes move.</t>
        </is>
      </c>
      <c r="I77" s="22" t="inlineStr">
        <is>
          <t>Glance</t>
        </is>
      </c>
    </row>
    <row r="78" ht="43.6" customHeight="1" s="9">
      <c r="A78" s="4" t="inlineStr">
        <is>
          <t>P-38</t>
        </is>
      </c>
      <c r="B78" s="4" t="inlineStr">
        <is>
          <t>'Identical on all 100' wrongly suggests the planners tie</t>
        </is>
      </c>
      <c r="C78" s="23" t="inlineStr">
        <is>
          <t>Minor</t>
        </is>
      </c>
      <c r="D78" s="4" t="n">
        <v>85</v>
      </c>
      <c r="E78" s="4" t="inlineStr">
        <is>
          <t>Not on your list</t>
        </is>
      </c>
      <c r="F78" s="15" t="inlineStr">
        <is>
          <t>I</t>
        </is>
      </c>
      <c r="G78" s="21" t="inlineStr">
        <is>
          <t>Add</t>
        </is>
      </c>
      <c r="H78" s="4" t="inlineStr">
        <is>
          <t>If you keep P-40, keep P-38: they're back-to-back sentences in the paragraph that holds your main result. P-38 is harder to defend (85 vs 75).</t>
        </is>
      </c>
      <c r="I78" s="4" t="inlineStr">
        <is>
          <t>One line</t>
        </is>
      </c>
    </row>
    <row r="79" ht="56.8" customHeight="1" s="9">
      <c r="A79" s="4" t="inlineStr">
        <is>
          <t>P-40</t>
        </is>
      </c>
      <c r="B79" s="4" t="inlineStr">
        <is>
          <t>The 250-episode count is attached to the wrong comparison</t>
        </is>
      </c>
      <c r="C79" s="23" t="inlineStr">
        <is>
          <t>Minor</t>
        </is>
      </c>
      <c r="D79" s="4" t="n">
        <v>75</v>
      </c>
      <c r="E79" s="4" t="inlineStr">
        <is>
          <t>Big set</t>
        </is>
      </c>
      <c r="F79" s="15" t="inlineStr">
        <is>
          <t>I</t>
        </is>
      </c>
      <c r="G79" s="18" t="inlineStr">
        <is>
          <t>Move</t>
        </is>
      </c>
      <c r="H79" s="4" t="inlineStr">
        <is>
          <t>It's a mistake in the paper, not untested work. The 0.267 vs 0.145 result comes from the 100-episode main run; "250 per level" belongs to the damage sweep. Answering "future work" would sound wrong.</t>
        </is>
      </c>
      <c r="I79" s="4" t="inlineStr">
        <is>
          <t>One line</t>
        </is>
      </c>
    </row>
    <row r="80" ht="43.6" customHeight="1" s="9">
      <c r="A80" s="4" t="inlineStr">
        <is>
          <t>P-41</t>
        </is>
      </c>
      <c r="B80" s="4" t="inlineStr">
        <is>
          <t>The multi-kilometre range holds only at milder damage levels</t>
        </is>
      </c>
      <c r="C80" s="23" t="inlineStr">
        <is>
          <t>Minor</t>
        </is>
      </c>
      <c r="D80" s="4" t="n">
        <v>60</v>
      </c>
      <c r="E80" s="4" t="inlineStr">
        <is>
          <t>{P-02, P-41}</t>
        </is>
      </c>
      <c r="F80" s="15" t="inlineStr">
        <is>
          <t>G</t>
        </is>
      </c>
      <c r="G80" s="18" t="inlineStr">
        <is>
          <t>Move</t>
        </is>
      </c>
      <c r="H80" s="4" t="inlineStr">
        <is>
          <t>Pairs with P-15: both are range numbers from Fig. 2. Say "about 2 km at the default damage level".</t>
        </is>
      </c>
      <c r="I80" s="4" t="inlineStr">
        <is>
          <t>One line</t>
        </is>
      </c>
    </row>
    <row r="81" ht="43.6" customHeight="1" s="9">
      <c r="A81" s="4" t="inlineStr">
        <is>
          <t>P-42</t>
        </is>
      </c>
      <c r="B81" s="4" t="inlineStr">
        <is>
          <t>Replacing the planner is an aim, not a result</t>
        </is>
      </c>
      <c r="C81" s="23" t="inlineStr">
        <is>
          <t>Minor</t>
        </is>
      </c>
      <c r="D81" s="4" t="n">
        <v>55</v>
      </c>
      <c r="E81" s="4" t="inlineStr">
        <is>
          <t>Not on your list</t>
        </is>
      </c>
      <c r="F81" s="15" t="inlineStr">
        <is>
          <t>E</t>
        </is>
      </c>
      <c r="G81" s="21" t="inlineStr">
        <is>
          <t>Add</t>
        </is>
      </c>
      <c r="H81" s="4" t="inlineStr">
        <is>
          <t>Section I gives the reason for RL in one sentence: replace Dijkstra, and handle clustered failures better. Neither was shown. Expect it inside "why RL?".</t>
        </is>
      </c>
      <c r="I81" s="4" t="inlineStr">
        <is>
          <t>One line</t>
        </is>
      </c>
    </row>
    <row r="82" ht="43.6" customHeight="1" s="9">
      <c r="A82" s="4" t="inlineStr">
        <is>
          <t>P-43</t>
        </is>
      </c>
      <c r="B82" s="4" t="inlineStr">
        <is>
          <t>The 51-byte size limit is borrowed from LoRaWAN</t>
        </is>
      </c>
      <c r="C82" s="23" t="inlineStr">
        <is>
          <t>Minor</t>
        </is>
      </c>
      <c r="D82" s="4" t="n">
        <v>50</v>
      </c>
      <c r="E82" s="4" t="inlineStr">
        <is>
          <t>Own</t>
        </is>
      </c>
      <c r="F82" s="15" t="inlineStr">
        <is>
          <t>F</t>
        </is>
      </c>
      <c r="G82" s="18" t="inlineStr">
        <is>
          <t>Move</t>
        </is>
      </c>
      <c r="H82" s="4" t="inlineStr">
        <is>
          <t>Part of the radio budget. Only comes up if the 51-byte limit is on a slide. Answer: it's a cautious size limit that also suits LoRaWAN radios.</t>
        </is>
      </c>
      <c r="I82" s="22" t="inlineStr">
        <is>
          <t>Glance</t>
        </is>
      </c>
    </row>
    <row r="83" ht="43.6" customHeight="1" s="9">
      <c r="A83" s="4" t="inlineStr">
        <is>
          <t>P-45</t>
        </is>
      </c>
      <c r="B83" s="4" t="inlineStr">
        <is>
          <t>The livelock may be blamed on the wrong cause</t>
        </is>
      </c>
      <c r="C83" s="23" t="inlineStr">
        <is>
          <t>Minor</t>
        </is>
      </c>
      <c r="D83" s="4" t="n">
        <v>45</v>
      </c>
      <c r="E83" s="4" t="inlineStr">
        <is>
          <t>{P-28, P-45, P-21, P-23}</t>
        </is>
      </c>
      <c r="F83" s="15" t="inlineStr">
        <is>
          <t>E</t>
        </is>
      </c>
      <c r="G83" s="19" t="inlineStr">
        <is>
          <t>Keep</t>
        </is>
      </c>
      <c r="H83" s="4" t="inlineStr">
        <is>
          <t>Good. Blame "dead neighbours stay pickable", not "only 8 slots". Section VI of the paper already says dead neighbours stay addressable.</t>
        </is>
      </c>
      <c r="I83" s="4" t="inlineStr">
        <is>
          <t>One line</t>
        </is>
      </c>
    </row>
    <row r="84" ht="56.8" customHeight="1" s="9">
      <c r="A84" s="4" t="inlineStr">
        <is>
          <t>P-52</t>
        </is>
      </c>
      <c r="B84" s="4" t="inlineStr">
        <is>
          <t>The reward–steps link is built in, not discovered</t>
        </is>
      </c>
      <c r="C84" s="23" t="inlineStr">
        <is>
          <t>Minor</t>
        </is>
      </c>
      <c r="D84" s="4" t="n">
        <v>25</v>
      </c>
      <c r="E84" s="4" t="inlineStr">
        <is>
          <t>Own</t>
        </is>
      </c>
      <c r="F84" s="15" t="inlineStr">
        <is>
          <t>B</t>
        </is>
      </c>
      <c r="G84" s="18" t="inlineStr">
        <is>
          <t>Move</t>
        </is>
      </c>
      <c r="H84" s="4" t="inlineStr">
        <is>
          <t>Only comes up if you show the reward–steps correlation. If you need to explain why you compare steps, say "reward is mostly set by the number of steps, so we compare steps directly".</t>
        </is>
      </c>
      <c r="I84" s="22" t="inlineStr">
        <is>
          <t>Glance</t>
        </is>
      </c>
    </row>
    <row r="85" ht="10" customHeight="1" s="9"/>
    <row r="86" ht="19.8" customHeight="1" s="9">
      <c r="A86" s="12" t="inlineStr">
        <is>
          <t>What's wrong with the current sets</t>
        </is>
      </c>
      <c r="B86" s="10" t="n"/>
      <c r="C86" s="10" t="n"/>
      <c r="D86" s="10" t="n"/>
      <c r="E86" s="10" t="n"/>
      <c r="F86" s="10" t="n"/>
      <c r="G86" s="10" t="n"/>
      <c r="H86" s="10" t="n"/>
      <c r="I86" s="10" t="n"/>
    </row>
    <row r="87" ht="17.2" customHeight="1" s="9">
      <c r="A87" s="14" t="inlineStr">
        <is>
          <t>#</t>
        </is>
      </c>
      <c r="B87" s="14" t="inlineStr">
        <is>
          <t>Your choice</t>
        </is>
      </c>
      <c r="C87" s="14" t="inlineStr">
        <is>
          <t>The problem</t>
        </is>
      </c>
      <c r="D87" s="1" t="n"/>
      <c r="E87" s="1" t="n"/>
      <c r="F87" s="1" t="n"/>
      <c r="G87" s="1" t="n"/>
      <c r="H87" s="14" t="inlineStr">
        <is>
          <t>Why it matters</t>
        </is>
      </c>
      <c r="I87" s="14" t="inlineStr">
        <is>
          <t>The fix</t>
        </is>
      </c>
    </row>
    <row r="88" ht="30.4" customHeight="1" s="9">
      <c r="A88" s="4" t="n">
        <v>1</v>
      </c>
      <c r="B88" s="15" t="inlineStr">
        <is>
          <t>P-01 on its own, and P-01 in the big set</t>
        </is>
      </c>
      <c r="C88" s="4" t="inlineStr">
        <is>
          <t>The same point is in two places.</t>
        </is>
      </c>
      <c r="D88" s="4" t="n"/>
      <c r="E88" s="4" t="n"/>
      <c r="F88" s="4" t="n"/>
      <c r="G88" s="4" t="n"/>
      <c r="H88" s="4" t="inlineStr">
        <is>
          <t>You'd prepare two versions of your answer to the most likely question of the day.</t>
        </is>
      </c>
      <c r="I88" s="4" t="inlineStr">
        <is>
          <t>Give it one home: set A.</t>
        </is>
      </c>
    </row>
    <row r="89" ht="56.8" customHeight="1" s="9">
      <c r="A89" s="4" t="n">
        <v>2</v>
      </c>
      <c r="B89" s="15" t="inlineStr">
        <is>
          <t>The big set {P-05, P-18, P-35, P-30, P-40, P-01, P-25}</t>
        </is>
      </c>
      <c r="C89" s="4" t="inlineStr">
        <is>
          <t>The points only share an ending ("…that's future work"). Their first sentences differ: P-40 is a mistake in the paper, P-25 needs "what's new" first, and P-18 is a no-difference result the paper already disclosed.</t>
        </is>
      </c>
      <c r="D89" s="4" t="n"/>
      <c r="E89" s="4" t="n"/>
      <c r="F89" s="4" t="n"/>
      <c r="G89" s="4" t="n"/>
      <c r="H89" s="4" t="inlineStr">
        <is>
          <t>In Q&amp;A the first sentence is what counts. A "future work" opening gives a wrong answer to P-40 and dodges the real question in P-25.</t>
        </is>
      </c>
      <c r="I89" s="4" t="inlineStr">
        <is>
          <t>Split it across sets A, B, C, E and I.</t>
        </is>
      </c>
    </row>
    <row r="90" ht="30.4" customHeight="1" s="9">
      <c r="A90" s="4" t="n">
        <v>3</v>
      </c>
      <c r="B90" s="15" t="inlineStr">
        <is>
          <t>P-04 on its own, P-07 with P-13, P-22 on its own</t>
        </is>
      </c>
      <c r="C90" s="4" t="inlineStr">
        <is>
          <t>One answer is split across three places.</t>
        </is>
      </c>
      <c r="D90" s="4" t="n"/>
      <c r="E90" s="4" t="n"/>
      <c r="F90" s="4" t="n"/>
      <c r="G90" s="4" t="n"/>
      <c r="H90" s="4" t="inlineStr">
        <is>
          <t>You risk giving three different definitions of one number, to questions a sharp listener will ask back to back.</t>
        </is>
      </c>
      <c r="I90" s="4" t="inlineStr">
        <is>
          <t>Put all three in set A, with P-01.</t>
        </is>
      </c>
    </row>
    <row r="91" ht="56.8" customHeight="1" s="9">
      <c r="A91" s="4" t="n">
        <v>4</v>
      </c>
      <c r="B91" s="15" t="inlineStr">
        <is>
          <t>{P-07, P-13}</t>
        </is>
      </c>
      <c r="C91" s="4" t="inlineStr">
        <is>
          <t>P-13's answer is P-05's: every method almost always succeeds, so damage doesn't reach the routing task yet. If you paired them because they share a fix (send real messages along the routes, with hops that can fail), that fix also covers P-01, P-04 and P-05.</t>
        </is>
      </c>
      <c r="D91" s="4" t="n"/>
      <c r="E91" s="4" t="n"/>
      <c r="F91" s="4" t="n"/>
      <c r="G91" s="4" t="n"/>
      <c r="H91" s="4" t="inlineStr">
        <is>
          <t>The grouping rule isn't applied the same way everywhere, so some answers end up in the wrong set.</t>
        </is>
      </c>
      <c r="I91" s="4" t="inlineStr">
        <is>
          <t>P-07 to set A, P-13 to set B.</t>
        </is>
      </c>
    </row>
    <row r="92" ht="43.6" customHeight="1" s="9">
      <c r="A92" s="4" t="n">
        <v>5</v>
      </c>
      <c r="B92" s="15" t="inlineStr">
        <is>
          <t>{P-02, P-41}</t>
        </is>
      </c>
      <c r="C92" s="4" t="inlineStr">
        <is>
          <t>It works as two wording fixes, but P-02 is rated Critical (85): episodes are too short for failures, battery drain or the link window to matter.</t>
        </is>
      </c>
      <c r="D92" s="4" t="n"/>
      <c r="E92" s="4" t="n"/>
      <c r="F92" s="4" t="n"/>
      <c r="G92" s="4" t="n"/>
      <c r="H92" s="4" t="inlineStr">
        <is>
          <t>Its follow-up ("so what does your damage model test?") is set B's question, which this pair doesn't prepare you for.</t>
        </is>
      </c>
      <c r="I92" s="4" t="inlineStr">
        <is>
          <t>P-02 to set B. P-41 to set G, with P-15.</t>
        </is>
      </c>
    </row>
    <row r="93" ht="43.6" customHeight="1" s="9">
      <c r="A93" s="4" t="n">
        <v>6</v>
      </c>
      <c r="B93" s="15" t="inlineStr">
        <is>
          <t>{P-28, P-45, P-21, P-23}</t>
        </is>
      </c>
      <c r="C93" s="4" t="inlineStr">
        <is>
          <t>P-21 is about how nodes share the channel (slotted ALOHA), not about the livelock.</t>
        </is>
      </c>
      <c r="D93" s="4" t="n"/>
      <c r="E93" s="4" t="n"/>
      <c r="F93" s="4" t="n"/>
      <c r="G93" s="4" t="n"/>
      <c r="H93" s="4" t="inlineStr">
        <is>
          <t>A mixed set makes you reach for the wrong answer. If the set meant "simplifications made for the simulator", then P-35, P-16 and P-43 would belong in it too.</t>
        </is>
      </c>
      <c r="I93" s="4" t="inlineStr">
        <is>
          <t>P-21 to set F. Keep the other three together.</t>
        </is>
      </c>
    </row>
    <row r="94" ht="43.6" customHeight="1" s="9">
      <c r="A94" s="4" t="n">
        <v>7</v>
      </c>
      <c r="B94" s="15" t="inlineStr">
        <is>
          <t>P-06, P-20, P-16 and P-43, each on its own</t>
        </is>
      </c>
      <c r="C94" s="4" t="inlineStr">
        <is>
          <t>They're one story: airtime and packet sizes.</t>
        </is>
      </c>
      <c r="D94" s="4" t="n"/>
      <c r="E94" s="4" t="n"/>
      <c r="F94" s="4" t="n"/>
      <c r="G94" s="4" t="n"/>
      <c r="H94" s="4" t="inlineStr">
        <is>
          <t>The numbers have to agree. 4.4% assumes a beacon of about 20 bytes; with the paper's 34-byte header it would be 6.0–6.6%.</t>
        </is>
      </c>
      <c r="I94" s="4" t="inlineStr">
        <is>
          <t>Put all four in set F, with P-21.</t>
        </is>
      </c>
    </row>
    <row r="95" ht="56.8" customHeight="1" s="9">
      <c r="A95" s="4" t="n">
        <v>8</v>
      </c>
      <c r="B95" s="15" t="inlineStr">
        <is>
          <t>P-12 on its own</t>
        </is>
      </c>
      <c r="C95" s="4" t="inlineStr">
        <is>
          <t>It's the trap inside "why RL?".</t>
        </is>
      </c>
      <c r="D95" s="4" t="n"/>
      <c r="E95" s="4" t="n"/>
      <c r="F95" s="4" t="n"/>
      <c r="G95" s="4" t="n"/>
      <c r="H95" s="4" t="inlineStr">
        <is>
          <t>The easy excuse, "PPO only sees local information", is exactly what P-12 disproves. It also has to match the livelock answer: no "lower bound", and no "the 8 slots hold PPO back".</t>
        </is>
      </c>
      <c r="I95" s="4" t="inlineStr">
        <is>
          <t>Put it in set E.</t>
        </is>
      </c>
    </row>
    <row r="96" ht="10" customHeight="1" s="9"/>
    <row r="97" ht="19.8" customHeight="1" s="9">
      <c r="A97" s="12" t="inlineStr">
        <is>
          <t>Things not to say</t>
        </is>
      </c>
      <c r="B97" s="10" t="n"/>
      <c r="C97" s="10" t="n"/>
      <c r="D97" s="10" t="n"/>
      <c r="E97" s="10" t="n"/>
      <c r="F97" s="10" t="n"/>
      <c r="G97" s="10" t="n"/>
      <c r="H97" s="10" t="n"/>
      <c r="I97" s="10" t="n"/>
    </row>
    <row r="98" ht="17.2" customHeight="1" s="9">
      <c r="A98" s="14" t="inlineStr">
        <is>
          <t>Point</t>
        </is>
      </c>
      <c r="B98" s="1" t="n"/>
      <c r="C98" s="14" t="inlineStr">
        <is>
          <t>Tempting line</t>
        </is>
      </c>
      <c r="D98" s="1" t="n"/>
      <c r="E98" s="1" t="n"/>
      <c r="F98" s="1" t="n"/>
      <c r="G98" s="1" t="n"/>
      <c r="H98" s="14" t="inlineStr">
        <is>
          <t>Why not</t>
        </is>
      </c>
      <c r="I98" s="14" t="inlineStr">
        <is>
          <t>Say instead</t>
        </is>
      </c>
    </row>
    <row r="99" ht="43.6" customHeight="1" s="9">
      <c r="A99" s="15" t="inlineStr">
        <is>
          <t>P-16</t>
        </is>
      </c>
      <c r="B99" s="4" t="n"/>
      <c r="C99" s="24" t="inlineStr">
        <is>
          <t>"The real on-air header is compact."</t>
        </is>
      </c>
      <c r="D99" s="4" t="n"/>
      <c r="E99" s="4" t="n"/>
      <c r="F99" s="4" t="n"/>
      <c r="G99" s="4" t="n"/>
      <c r="H99" s="4" t="inlineStr">
        <is>
          <t>No specification of the real header exists, so you can't back it up.</t>
        </is>
      </c>
      <c r="I99" s="25" t="inlineStr">
        <is>
          <t>"The 34-byte layout is the simulator's internal record. The over-the-air format still needs to be specified."</t>
        </is>
      </c>
    </row>
    <row r="100" ht="43.6" customHeight="1" s="9">
      <c r="A100" s="15" t="inlineStr">
        <is>
          <t>P-20</t>
        </is>
      </c>
      <c r="B100" s="4" t="n"/>
      <c r="C100" s="24" t="inlineStr">
        <is>
          <t>"India has no duty-cycle limit."</t>
        </is>
      </c>
      <c r="D100" s="4" t="n"/>
      <c r="E100" s="4" t="n"/>
      <c r="F100" s="4" t="n"/>
      <c r="G100" s="4" t="n"/>
      <c r="H100" s="4" t="inlineStr">
        <is>
          <t>That hasn't been verified yet.</t>
        </is>
      </c>
      <c r="I100" s="25" t="inlineStr">
        <is>
          <t>"ETSI is a European rule. Either way, airtime at this density is the real limit."</t>
        </is>
      </c>
    </row>
    <row r="101" ht="43.6" customHeight="1" s="9">
      <c r="A101" s="15" t="inlineStr">
        <is>
          <t>P-12, P-28, P-45</t>
        </is>
      </c>
      <c r="B101" s="4" t="n"/>
      <c r="C101" s="24" t="inlineStr">
        <is>
          <t>"The 8 slots hold PPO back", or "PPO's result is a lower bound."</t>
        </is>
      </c>
      <c r="D101" s="4" t="n"/>
      <c r="E101" s="4" t="n"/>
      <c r="F101" s="4" t="n"/>
      <c r="G101" s="4" t="n"/>
      <c r="H101" s="4" t="inlineStr">
        <is>
          <t>In the tested scenarios the 8 slots always include a best next hop, and the lower bound was never measured.</t>
        </is>
      </c>
      <c r="I101" s="25" t="inlineStr">
        <is>
          <t>"The fixed list of 8 was a simplification. Hiding dead neighbours from the agent (masking) is the fix."</t>
        </is>
      </c>
    </row>
    <row r="102" ht="30.4" customHeight="1" s="9">
      <c r="A102" s="15" t="inlineStr">
        <is>
          <t>P-25</t>
        </is>
      </c>
      <c r="B102" s="4" t="n"/>
      <c r="C102" s="24" t="inlineStr">
        <is>
          <t>"Hardware is next." (as the whole answer)</t>
        </is>
      </c>
      <c r="D102" s="4" t="n"/>
      <c r="E102" s="4" t="n"/>
      <c r="F102" s="4" t="n"/>
      <c r="G102" s="4" t="n"/>
      <c r="H102" s="4" t="inlineStr">
        <is>
          <t>It doesn't say what ABOT adds over [5].</t>
        </is>
      </c>
      <c r="I102" s="25" t="inlineStr">
        <is>
          <t>"[5] has hardware results and we don't yet. What we add is …"</t>
        </is>
      </c>
    </row>
    <row r="103" ht="56.8" customHeight="1" s="9">
      <c r="A103" s="15" t="inlineStr">
        <is>
          <t>P-05</t>
        </is>
      </c>
      <c r="B103" s="4" t="n"/>
      <c r="C103" s="24" t="inlineStr">
        <is>
          <t>"The damage sweep is just a baseline."</t>
        </is>
      </c>
      <c r="D103" s="4" t="n"/>
      <c r="E103" s="4" t="n"/>
      <c r="F103" s="4" t="n"/>
      <c r="G103" s="4" t="n"/>
      <c r="H103" s="4" t="inlineStr">
        <is>
          <t>Section II of the paper claims the five-level sweep as a contribution.</t>
        </is>
      </c>
      <c r="I103" s="25" t="inlineStr">
        <is>
          <t>"Every method almost always succeeds, at every damage level, so we compare route length. A harder version is needed."</t>
        </is>
      </c>
    </row>
    <row r="104" ht="43.6" customHeight="1" s="9">
      <c r="A104" s="15" t="inlineStr">
        <is>
          <t>P-07</t>
        </is>
      </c>
      <c r="B104" s="4" t="n"/>
      <c r="C104" s="24" t="inlineStr">
        <is>
          <t>"It's a proof of concept; hardware will tell."</t>
        </is>
      </c>
      <c r="D104" s="4" t="n"/>
      <c r="E104" s="4" t="n"/>
      <c r="F104" s="4" t="n"/>
      <c r="G104" s="4" t="n"/>
      <c r="H104" s="4" t="inlineStr">
        <is>
          <t>The problem is the choice of measure, and hardware doesn't change that.</t>
        </is>
      </c>
      <c r="I104" s="25" t="inlineStr">
        <is>
          <t>"Partly, yes: the planner uses that same score. We only claim it changes which routes get picked."</t>
        </is>
      </c>
    </row>
    <row r="105" ht="30.4" customHeight="1" s="9">
      <c r="A105" s="15" t="inlineStr">
        <is>
          <t>P-18</t>
        </is>
      </c>
      <c r="B105" s="4" t="n"/>
      <c r="C105" s="24" t="inlineStr">
        <is>
          <t>"The gossip arm paid the airtime cost."</t>
        </is>
      </c>
      <c r="D105" s="4" t="n"/>
      <c r="E105" s="4" t="n"/>
      <c r="F105" s="4" t="n"/>
      <c r="G105" s="4" t="n"/>
      <c r="H105" s="4" t="inlineStr">
        <is>
          <t>No gossip was sent during evaluation.</t>
        </is>
      </c>
      <c r="I105" s="25" t="inlineStr">
        <is>
          <t>"Gossip made no difference. Its merge step isn't connected yet."</t>
        </is>
      </c>
    </row>
    <row r="106" ht="43.6" customHeight="1" s="9">
      <c r="A106" s="15" t="inlineStr">
        <is>
          <t>Any point</t>
        </is>
      </c>
      <c r="B106" s="4" t="n"/>
      <c r="C106" s="24" t="inlineStr">
        <is>
          <t>"That's future work," as a reflex.</t>
        </is>
      </c>
      <c r="D106" s="4" t="n"/>
      <c r="E106" s="4" t="n"/>
      <c r="F106" s="4" t="n"/>
      <c r="G106" s="4" t="n"/>
      <c r="H106" s="4" t="inlineStr">
        <is>
          <t>Say "next" only for experiments you really plan. Several answers in a row that end in "future work" sound like the paper has no results.</t>
        </is>
      </c>
      <c r="I106" s="25" t="inlineStr">
        <is>
          <t>"The experiment that would answer this is …"</t>
        </is>
      </c>
    </row>
    <row r="107" ht="10" customHeight="1" s="9"/>
    <row r="108" ht="19.8" customHeight="1" s="9">
      <c r="A108" s="12" t="inlineStr">
        <is>
          <t>Other advice</t>
        </is>
      </c>
      <c r="B108" s="10" t="n"/>
      <c r="C108" s="10" t="n"/>
      <c r="D108" s="10" t="n"/>
      <c r="E108" s="10" t="n"/>
      <c r="F108" s="10" t="n"/>
      <c r="G108" s="10" t="n"/>
      <c r="H108" s="10" t="n"/>
      <c r="I108" s="10" t="n"/>
    </row>
    <row r="109" ht="17.2" customHeight="1" s="9">
      <c r="A109" s="14" t="inlineStr">
        <is>
          <t>#</t>
        </is>
      </c>
      <c r="B109" s="14" t="inlineStr">
        <is>
          <t>Advice</t>
        </is>
      </c>
      <c r="C109" s="1" t="n"/>
      <c r="D109" s="1" t="n"/>
      <c r="E109" s="1" t="n"/>
      <c r="F109" s="1" t="n"/>
      <c r="G109" s="1" t="n"/>
      <c r="H109" s="14" t="inlineStr">
        <is>
          <t>Why</t>
        </is>
      </c>
      <c r="I109" s="1" t="n"/>
    </row>
    <row r="110" ht="30.4" customHeight="1" s="9">
      <c r="A110" s="4" t="n">
        <v>1</v>
      </c>
      <c r="B110" s="15" t="inlineStr">
        <is>
          <t>Say it first. Put one "limitations and next steps" slide in the talk that covers sets A, B and H.</t>
        </is>
      </c>
      <c r="C110" s="4" t="n"/>
      <c r="D110" s="4" t="n"/>
      <c r="E110" s="4" t="n"/>
      <c r="F110" s="4" t="n"/>
      <c r="G110" s="4" t="n"/>
      <c r="H110" s="4" t="inlineStr">
        <is>
          <t>When you volunteer an admission, it sounds honest, and it's what the reviewers asked for. When it's dragged out of you in Q&amp;A, it sounds like a hole.</t>
        </is>
      </c>
      <c r="I110" s="4" t="n"/>
    </row>
    <row r="111" ht="30.4" customHeight="1" s="9">
      <c r="A111" s="4" t="n">
        <v>2</v>
      </c>
      <c r="B111" s="15" t="inlineStr">
        <is>
          <t>For the 7 Critical points (P-01 to P-07), prepare an admission that keeps the narrow claim, not a rebuttal.</t>
        </is>
      </c>
      <c r="C111" s="4" t="n"/>
      <c r="D111" s="4" t="n"/>
      <c r="E111" s="4" t="n"/>
      <c r="F111" s="4" t="n"/>
      <c r="G111" s="4" t="n"/>
      <c r="H111" s="4" t="inlineStr">
        <is>
          <t>They're rated 75–85 hard to defend. Arguing makes them worse.</t>
        </is>
      </c>
      <c r="I111" s="4" t="n"/>
    </row>
    <row r="112" ht="30.4" customHeight="1" s="9">
      <c r="A112" s="4" t="n">
        <v>3</v>
      </c>
      <c r="B112" s="15" t="inlineStr">
        <is>
          <t>Decide what goes on the slides first.</t>
        </is>
      </c>
      <c r="C112" s="4" t="n"/>
      <c r="D112" s="4" t="n"/>
      <c r="E112" s="4" t="n"/>
      <c r="F112" s="4" t="n"/>
      <c r="G112" s="4" t="n"/>
      <c r="H112" s="4" t="inlineStr">
        <is>
          <t>P-16, P-43, P-21, P-31 and P-52 only come up if that detail is on a slide. There's no slide deck in the prep folder yet.</t>
        </is>
      </c>
      <c r="I112" s="4" t="n"/>
    </row>
    <row r="113" ht="30.4" customHeight="1" s="9">
      <c r="A113" s="4" t="n">
        <v>4</v>
      </c>
      <c r="B113" s="15" t="inlineStr">
        <is>
          <t>Prepare the two standard questions as well: "Have you tested it on real hardware? How realistic is it?" (set G) and "Why use RL?" (set E).</t>
        </is>
      </c>
      <c r="C113" s="4" t="n"/>
      <c r="D113" s="4" t="n"/>
      <c r="E113" s="4" t="n"/>
      <c r="F113" s="4" t="n"/>
      <c r="G113" s="4" t="n"/>
      <c r="H113" s="4" t="inlineStr">
        <is>
          <t>They aren't red-team points, but they're the most likely questions of all.</t>
        </is>
      </c>
      <c r="I113" s="4" t="n"/>
    </row>
    <row r="114" ht="17.2" customHeight="1" s="9">
      <c r="A114" s="4" t="n">
        <v>5</v>
      </c>
      <c r="B114" s="15" t="inlineStr">
        <is>
          <t>Learn the 9 opening lines by heart, then one follow-up line for each point.</t>
        </is>
      </c>
      <c r="C114" s="4" t="n"/>
      <c r="D114" s="4" t="n"/>
      <c r="E114" s="4" t="n"/>
      <c r="F114" s="4" t="n"/>
      <c r="G114" s="4" t="n"/>
      <c r="H114" s="4" t="inlineStr">
        <is>
          <t>9 sentences are easier to recall under pressure than 17 separate explanations.</t>
        </is>
      </c>
      <c r="I114" s="4" t="n"/>
    </row>
    <row r="115" ht="10" customHeight="1" s="9"/>
    <row r="116" ht="19.8" customHeight="1" s="9">
      <c r="A116" s="12" t="inlineStr">
        <is>
          <t>Good choices to keep</t>
        </is>
      </c>
      <c r="B116" s="10" t="n"/>
      <c r="C116" s="10" t="n"/>
      <c r="D116" s="10" t="n"/>
      <c r="E116" s="10" t="n"/>
      <c r="F116" s="10" t="n"/>
      <c r="G116" s="10" t="n"/>
      <c r="H116" s="10" t="n"/>
      <c r="I116" s="10" t="n"/>
    </row>
    <row r="117" ht="17.2" customHeight="1" s="9">
      <c r="B117" s="13" t="inlineStr">
        <is>
          <t>• All 10 points the triage marked "have an answer ready" are on your list: P-01, P-03, P-04, P-05, P-06, P-07, P-10, P-11, P-22 and P-25.</t>
        </is>
      </c>
      <c r="C117" s="13" t="n"/>
      <c r="D117" s="13" t="n"/>
      <c r="E117" s="13" t="n"/>
      <c r="F117" s="13" t="n"/>
      <c r="G117" s="13" t="n"/>
      <c r="H117" s="13" t="n"/>
      <c r="I117" s="13" t="n"/>
    </row>
    <row r="118" ht="17.2" customHeight="1" s="9">
      <c r="B118" s="13" t="inlineStr">
        <is>
          <t>• {P-10, P-11} is a real set: both are about how ABOT compares with existing mesh routing.</t>
        </is>
      </c>
      <c r="C118" s="13" t="n"/>
      <c r="D118" s="13" t="n"/>
      <c r="E118" s="13" t="n"/>
      <c r="F118" s="13" t="n"/>
      <c r="G118" s="13" t="n"/>
      <c r="H118" s="13" t="n"/>
      <c r="I118" s="13" t="n"/>
    </row>
    <row r="119" ht="17.2" customHeight="1" s="9">
      <c r="B119" s="13" t="inlineStr">
        <is>
          <t>• {P-23, P-28, P-45} is the livelock, and those three belong together. Section VI of the paper already says dead neighbours stay addressable, so the honest cause is in print.</t>
        </is>
      </c>
      <c r="C119" s="13" t="n"/>
      <c r="D119" s="13" t="n"/>
      <c r="E119" s="13" t="n"/>
      <c r="F119" s="13" t="n"/>
      <c r="G119" s="13" t="n"/>
      <c r="H119" s="13" t="n"/>
      <c r="I119" s="13" t="n"/>
    </row>
    <row r="120" ht="17.2" customHeight="1" s="9">
      <c r="B120" s="13" t="inlineStr">
        <is>
          <t>• Moving P-12, P-15 and P-20 up from "watch your wording" is sensible. They're the wording points a listener can most easily turn into a question.</t>
        </is>
      </c>
      <c r="C120" s="13" t="n"/>
      <c r="D120" s="13" t="n"/>
      <c r="E120" s="13" t="n"/>
      <c r="F120" s="13" t="n"/>
      <c r="G120" s="13" t="n"/>
      <c r="H120" s="13" t="n"/>
      <c r="I120" s="13" t="n"/>
    </row>
  </sheetData>
  <autoFilter ref="A48:I84"/>
  <mergeCells count="88">
    <mergeCell ref="B111:G111"/>
    <mergeCell ref="C44:E44"/>
    <mergeCell ref="A98:B98"/>
    <mergeCell ref="A108:I108"/>
    <mergeCell ref="C40:E40"/>
    <mergeCell ref="H113:I113"/>
    <mergeCell ref="A2:I2"/>
    <mergeCell ref="A99:B99"/>
    <mergeCell ref="B120:I120"/>
    <mergeCell ref="A35:I35"/>
    <mergeCell ref="B8:I8"/>
    <mergeCell ref="A101:B101"/>
    <mergeCell ref="C95:G95"/>
    <mergeCell ref="B110:G110"/>
    <mergeCell ref="B113:G113"/>
    <mergeCell ref="B109:G109"/>
    <mergeCell ref="B9:I9"/>
    <mergeCell ref="C42:E42"/>
    <mergeCell ref="F43:G43"/>
    <mergeCell ref="C91:G91"/>
    <mergeCell ref="A11:I11"/>
    <mergeCell ref="B5:I5"/>
    <mergeCell ref="C101:G101"/>
    <mergeCell ref="A103:B103"/>
    <mergeCell ref="C103:G103"/>
    <mergeCell ref="C100:G100"/>
    <mergeCell ref="C39:E39"/>
    <mergeCell ref="C94:G94"/>
    <mergeCell ref="A116:I116"/>
    <mergeCell ref="F45:G45"/>
    <mergeCell ref="F42:G42"/>
    <mergeCell ref="A105:B105"/>
    <mergeCell ref="C38:E38"/>
    <mergeCell ref="H109:I109"/>
    <mergeCell ref="B114:G114"/>
    <mergeCell ref="H111:I111"/>
    <mergeCell ref="C106:G106"/>
    <mergeCell ref="F39:G39"/>
    <mergeCell ref="A100:B100"/>
    <mergeCell ref="B33:I33"/>
    <mergeCell ref="A1:I1"/>
    <mergeCell ref="A102:B102"/>
    <mergeCell ref="C87:G87"/>
    <mergeCell ref="B25:I25"/>
    <mergeCell ref="C89:G89"/>
    <mergeCell ref="C104:G104"/>
    <mergeCell ref="B27:I27"/>
    <mergeCell ref="C88:G88"/>
    <mergeCell ref="C36:E36"/>
    <mergeCell ref="B112:G112"/>
    <mergeCell ref="A32:I32"/>
    <mergeCell ref="B117:I117"/>
    <mergeCell ref="A23:I23"/>
    <mergeCell ref="F36:G36"/>
    <mergeCell ref="C99:G99"/>
    <mergeCell ref="A4:I4"/>
    <mergeCell ref="H110:I110"/>
    <mergeCell ref="B119:I119"/>
    <mergeCell ref="A104:B104"/>
    <mergeCell ref="B29:I29"/>
    <mergeCell ref="C37:E37"/>
    <mergeCell ref="A106:B106"/>
    <mergeCell ref="B118:I118"/>
    <mergeCell ref="B24:I24"/>
    <mergeCell ref="B26:I26"/>
    <mergeCell ref="C92:G92"/>
    <mergeCell ref="C41:E41"/>
    <mergeCell ref="B7:I7"/>
    <mergeCell ref="H112:I112"/>
    <mergeCell ref="C98:G98"/>
    <mergeCell ref="F40:G40"/>
    <mergeCell ref="C43:E43"/>
    <mergeCell ref="A86:I86"/>
    <mergeCell ref="H114:I114"/>
    <mergeCell ref="A47:I47"/>
    <mergeCell ref="C93:G93"/>
    <mergeCell ref="A97:I97"/>
    <mergeCell ref="F41:G41"/>
    <mergeCell ref="C90:G90"/>
    <mergeCell ref="C105:G105"/>
    <mergeCell ref="F38:G38"/>
    <mergeCell ref="B28:I28"/>
    <mergeCell ref="F37:G37"/>
    <mergeCell ref="B30:I30"/>
    <mergeCell ref="B6:I6"/>
    <mergeCell ref="C45:E45"/>
    <mergeCell ref="C102:G102"/>
    <mergeCell ref="F44:G44"/>
  </mergeCells>
  <conditionalFormatting sqref="D49:D84">
    <cfRule type="colorScale" priority="1">
      <colorScale>
        <cfvo type="num" val="1"/>
        <cfvo type="num" val="50"/>
        <cfvo type="num" val="100"/>
        <color rgb="0063BE7B"/>
        <color rgb="00FFEB84"/>
        <color rgb="00F8696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2026-10-12T12:16:41Z</dcterms:created>
  <dcterms:modified xmlns:dcterms="http://purl.org/dc/terms/" xmlns:xsi="http://www.w3.org/2001/XMLSchema-instance" xsi:type="dcterms:W3CDTF">2026-10-14T13:10:18Z</dcterms:modified>
  <cp:lastModifiedBy>Aniraj Singh</cp:lastModifiedBy>
</cp:coreProperties>
</file>